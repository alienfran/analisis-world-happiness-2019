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5"/>
    <sheet state="visible" name="Tabla diná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<sst xmlns="http://schemas.openxmlformats.org/spreadsheetml/2006/main" count="183" uniqueCount="175">
  <si>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</si>
  <si>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</si>
  <si>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</si>
  <si>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</si>
  <si>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</si>
  <si>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</si>
  <si>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</si>
  <si>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</si>
  <si>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</si>
  <si>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Número de caracteres de nombre pais</t>
  </si>
  <si>
    <t>rango_nuevo</t>
  </si>
  <si>
    <t>Score corregido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</si>
  <si>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</si>
  <si>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</si>
  <si>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</si>
  <si>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</si>
  <si>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</si>
  <si>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</si>
  <si>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</si>
  <si>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</si>
  <si>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</si>
  <si>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</si>
  <si>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</si>
  <si>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</si>
  <si>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</si>
  <si>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</si>
  <si>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</si>
  <si>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</si>
  <si>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</si>
  <si>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</si>
  <si>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</si>
  <si>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</si>
  <si>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</si>
  <si>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</si>
  <si>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</si>
  <si>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</si>
  <si>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</si>
  <si>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</si>
  <si>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</si>
  <si>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</si>
  <si>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</si>
  <si>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</si>
  <si>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</si>
  <si>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</si>
  <si>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</si>
  <si>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</si>
  <si>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</si>
  <si>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</si>
  <si>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</si>
  <si>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</si>
  <si>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</si>
  <si>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</si>
  <si>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</si>
  <si>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</si>
  <si>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</si>
  <si>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</si>
  <si>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</si>
  <si>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</si>
  <si>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</si>
  <si>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</si>
  <si>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</si>
  <si>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</si>
  <si>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</si>
  <si>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</si>
  <si>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</si>
  <si>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</si>
  <si>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</si>
  <si>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</si>
  <si>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</si>
  <si>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</si>
  <si>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</si>
  <si>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</si>
  <si>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</si>
  <si>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</si>
  <si>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</si>
  <si>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</si>
  <si>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</si>
  <si>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</si>
  <si>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</si>
  <si>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</si>
  <si>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</si>
  <si>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</si>
  <si>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</si>
  <si>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</si>
  <si>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</si>
  <si>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</si>
  <si>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</si>
  <si>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</si>
  <si>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</si>
  <si>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</si>
  <si>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</si>
  <si>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</si>
  <si>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</si>
  <si>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</si>
  <si>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</si>
  <si>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</si>
  <si>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</si>
  <si>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</si>
  <si>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</si>
  <si>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</si>
  <si>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</si>
  <si>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</si>
  <si>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</si>
  <si>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</si>
  <si>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</si>
  <si>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</si>
  <si>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</si>
  <si>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</si>
  <si>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</si>
  <si>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</si>
  <si>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</si>
  <si>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</si>
  <si>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</si>
  <si>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</si>
  <si>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</si>
  <si>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</si>
  <si>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</si>
  <si>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</si>
  <si>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</si>
  <si>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</si>
  <si>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</si>
  <si>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</si>
  <si>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</si>
  <si>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</si>
  <si>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</si>
  <si>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</si>
  <si>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</si>
  <si>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</si>
  <si>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</si>
  <si>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</si>
  <si>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</si>
  <si>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</si>
  <si>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</si>
  <si>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</si>
  <si>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</si>
  <si>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</si>
  <si>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</si>
  <si>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</si>
  <si>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</si>
  <si>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</si>
  <si>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</si>
  <si>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</si>
  <si>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</si>
  <si>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</si>
  <si>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</si>
  <si>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</si>
  <si>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</si>
  <si>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</si>
  <si>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</si>
  <si>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</si>
  <si>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</si>
  <si>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</si>
  <si>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</si>
  <si>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</si>
  <si>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</si>
  <si>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</si>
  <si>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</si>
  <si>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</si>
  <si>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</si>
  <si>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</si>
  <si>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</si>
  <si>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</si>
  <si>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</si>
  <si>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</si>
  <si>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</si>
  <si>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</si>
  <si>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</si>
  <si>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</si>
  <si>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numerico discreto</t>
  </si>
  <si>
    <t>categorico nominal</t>
  </si>
  <si>
    <t>AVERAGE de Score</t>
  </si>
  <si>
    <t>Alto</t>
  </si>
  <si>
    <t>Bajo</t>
  </si>
  <si>
    <t>Medio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</si>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</sst>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163</xdr:row>
      <xdr:rowOff>104775</xdr:rowOff>
    </xdr:from>
    <xdr:ext cx="3352800" cy="2076450"/>
    <xdr:pic>
      <xdr:nvPicPr>
        <xdr:cNvPr id="194625768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57" sheet="2019"/>
  </cacheSource>
  <cacheFields>
    <cacheField name="Overall ran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</sharedItems>
    </cacheField>
    <cacheField name="Country or region" numFmtId="0">
      <sharedItems>
        <s v="Finland"/>
        <s v="Denmark"/>
        <s v="Norway"/>
        <s v="Iceland"/>
        <s v="Netherlands"/>
        <s v="Switzerland"/>
        <s v="Sweden"/>
        <s v="New Zealand"/>
        <s v="Canada"/>
        <s v="Austria"/>
        <s v="Australia"/>
        <s v="Costa Rica"/>
        <s v="Israel"/>
        <s v="Luxembourg"/>
        <s v="United Kingdom"/>
        <s v="Ireland"/>
        <s v="Germany"/>
        <s v="Belgium"/>
        <s v="United States"/>
        <s v="Czech Republic"/>
        <s v="United Arab Emirates"/>
        <s v="Malta"/>
        <s v="Mexico"/>
        <s v="France"/>
        <s v="Taiwan"/>
        <s v="Chile"/>
        <s v="Guatemala"/>
        <s v="Saudi Arabia"/>
        <s v="Qatar"/>
        <s v="Spain"/>
        <s v="Panama"/>
        <s v="Brazil"/>
        <s v="Uruguay"/>
        <s v="Singapore"/>
        <s v="El Salvador"/>
        <s v="Italy"/>
        <s v="Bahrain"/>
        <s v="Slovakia"/>
        <s v="Trinidad &amp; Tobago"/>
        <s v="Poland"/>
        <s v="Uzbekistan"/>
        <s v="Lithuania"/>
        <s v="Colombia"/>
        <s v="Slovenia"/>
        <s v="Nicaragua"/>
        <s v="Kosovo"/>
        <s v="Argentina"/>
        <s v="Romania"/>
        <s v="Cyprus"/>
        <s v="Ecuador"/>
        <s v="Kuwait"/>
        <s v="Thailand"/>
        <s v="Latvia"/>
        <s v="South Korea"/>
        <s v="Estonia"/>
        <s v="Jamaica"/>
        <s v="Mauritius"/>
        <s v="Japan"/>
        <s v="Honduras"/>
        <s v="Kazakhstan"/>
        <s v="Bolivia"/>
        <s v="Hungary"/>
        <s v="Paraguay"/>
        <s v="Northern Cyprus"/>
        <s v="Peru"/>
        <s v="Portugal"/>
        <s v="Pakistan"/>
        <s v="Russia"/>
        <s v="Philippines"/>
        <s v="Serbia"/>
        <s v="Moldova"/>
        <s v="Libya"/>
        <s v="Montenegro"/>
        <s v="Tajikistan"/>
        <s v="Croatia"/>
        <s v="Hong Kong"/>
        <s v="Dominican Republic"/>
        <s v="Bosnia and Herzegovina"/>
        <s v="Turkey"/>
        <s v="Malaysia"/>
        <s v="Belarus"/>
        <s v="Greece"/>
        <s v="Mongolia"/>
        <s v="North Macedonia"/>
        <s v="Nigeria"/>
        <s v="Kyrgyzstan"/>
        <s v="Turkmenistan"/>
        <s v="Algeria"/>
        <s v="Morocco"/>
        <s v="Azerbaijan"/>
        <s v="Lebanon"/>
        <s v="Indonesia"/>
        <s v="China"/>
        <s v="Vietnam"/>
        <s v="Bhutan"/>
        <s v="Cameroon"/>
        <s v="Bulgaria"/>
        <s v="Ghana"/>
        <s v="Ivory Coast"/>
        <s v="Nepal"/>
        <s v="Jordan"/>
        <s v="Benin"/>
        <s v="Congo (Brazzaville)"/>
        <s v="Gabon"/>
        <s v="Laos"/>
        <s v="South Africa"/>
        <s v="Albania"/>
        <s v="Venezuela"/>
        <s v="Cambodia"/>
        <s v="Palestinian Territories"/>
        <s v="Senegal"/>
        <s v="Somalia"/>
        <s v="Namibia"/>
        <s v="Niger"/>
        <s v="Burkina Faso"/>
        <s v="Armenia"/>
        <s v="Iran"/>
        <s v="Guinea"/>
        <s v="Georgia"/>
        <s v="Gambia"/>
        <s v="Kenya"/>
        <s v="Mauritania"/>
        <s v="Mozambique"/>
        <s v="Tunisia"/>
        <s v="Bangladesh"/>
        <s v="Iraq"/>
        <s v="Congo (Kinshasa)"/>
        <s v="Mali"/>
        <s v="Sierra Leone"/>
        <s v="Sri Lanka"/>
        <s v="Myanmar"/>
        <s v="Chad"/>
        <s v="Ukraine"/>
        <s v="Ethiopia"/>
        <s v="Swaziland"/>
        <s v="Uganda"/>
        <s v="Egypt"/>
        <s v="Zambia"/>
        <s v="Togo"/>
        <s v="India"/>
        <s v="Liberia"/>
        <s v="Comoros"/>
        <s v="Madagascar"/>
        <s v="Lesotho"/>
        <s v="Burundi"/>
        <s v="Zimbabwe"/>
        <s v="Haiti"/>
        <s v="Botswana"/>
        <s v="Syria"/>
        <s v="Malawi"/>
        <s v="Yemen"/>
        <s v="Rwanda"/>
        <s v="Tanzania"/>
        <s v="Afghanistan"/>
        <s v="Central African Republic"/>
        <s v="South Sudan"/>
      </sharedItems>
    </cacheField>
    <cacheField name="Score" numFmtId="3">
      <sharedItems containsSemiMixedTypes="0" containsString="0" containsNumber="1" containsInteger="1">
        <n v="7769.0"/>
        <n v="7600.0"/>
        <n v="7554.0"/>
        <n v="7494.0"/>
        <n v="7488.0"/>
        <n v="7480.0"/>
        <n v="7343.0"/>
        <n v="7307.0"/>
        <n v="7278.0"/>
        <n v="7246.0"/>
        <n v="7228.0"/>
        <n v="7167.0"/>
        <n v="7139.0"/>
        <n v="7090.0"/>
        <n v="7054.0"/>
        <n v="7021.0"/>
        <n v="6985.0"/>
        <n v="6923.0"/>
        <n v="6892.0"/>
        <n v="6852.0"/>
        <n v="6825.0"/>
        <n v="6726.0"/>
        <n v="6595.0"/>
        <n v="6592.0"/>
        <n v="6446.0"/>
        <n v="6444.0"/>
        <n v="6436.0"/>
        <n v="6375.0"/>
        <n v="6374.0"/>
        <n v="6354.0"/>
        <n v="6321.0"/>
        <n v="6300.0"/>
        <n v="6293.0"/>
        <n v="6262.0"/>
        <n v="6253.0"/>
        <n v="6223.0"/>
        <n v="6199.0"/>
        <n v="6198.0"/>
        <n v="6192.0"/>
        <n v="6182.0"/>
        <n v="6174.0"/>
        <n v="6149.0"/>
        <n v="6125.0"/>
        <n v="6118.0"/>
        <n v="6105.0"/>
        <n v="6100.0"/>
        <n v="6086.0"/>
        <n v="6070.0"/>
        <n v="6046.0"/>
        <n v="6028.0"/>
        <n v="6021.0"/>
        <n v="6008.0"/>
        <n v="5940.0"/>
        <n v="5895.0"/>
        <n v="5893.0"/>
        <n v="5890.0"/>
        <n v="5888.0"/>
        <n v="5886.0"/>
        <n v="5860.0"/>
        <n v="5809.0"/>
        <n v="5779.0"/>
        <n v="5758.0"/>
        <n v="5743.0"/>
        <n v="5718.0"/>
        <n v="5697.0"/>
        <n v="5693.0"/>
        <n v="5653.0"/>
        <n v="5648.0"/>
        <n v="5631.0"/>
        <n v="5603.0"/>
        <n v="5529.0"/>
        <n v="5525.0"/>
        <n v="5523.0"/>
        <n v="5467.0"/>
        <n v="5432.0"/>
        <n v="5430.0"/>
        <n v="5425.0"/>
        <n v="5386.0"/>
        <n v="5373.0"/>
        <n v="5339.0"/>
        <n v="5323.0"/>
        <n v="5287.0"/>
        <n v="5285.0"/>
        <n v="5274.0"/>
        <n v="5265.0"/>
        <n v="5261.0"/>
        <n v="5247.0"/>
        <n v="5211.0"/>
        <n v="5208.0"/>
        <n v="5197.0"/>
        <n v="5192.0"/>
        <n v="5191.0"/>
        <n v="5175.0"/>
        <n v="5082.0"/>
        <n v="5044.0"/>
        <n v="5011.0"/>
        <n v="4996.0"/>
        <n v="4944.0"/>
        <n v="4913.0"/>
        <n v="4906.0"/>
        <n v="4883.0"/>
        <n v="4812.0"/>
        <n v="4799.0"/>
        <n v="4796.0"/>
        <n v="4722.0"/>
        <n v="4719.0"/>
        <n v="4707.0"/>
        <n v="4700.0"/>
        <n v="4696.0"/>
        <n v="4681.0"/>
        <n v="4668.0"/>
        <n v="4639.0"/>
        <n v="4628.0"/>
        <n v="4587.0"/>
        <n v="4559.0"/>
        <n v="4548.0"/>
        <n v="4534.0"/>
        <n v="4519.0"/>
        <n v="4516.0"/>
        <n v="4509.0"/>
        <n v="4490.0"/>
        <n v="4466.0"/>
        <n v="4461.0"/>
        <n v="4456.0"/>
        <n v="4437.0"/>
        <n v="4418.0"/>
        <n v="4390.0"/>
        <n v="4374.0"/>
        <n v="4366.0"/>
        <n v="4360.0"/>
        <n v="4350.0"/>
        <n v="4332.0"/>
        <n v="4286.0"/>
        <n v="4212.0"/>
        <n v="4189.0"/>
        <n v="4166.0"/>
        <n v="4107.0"/>
        <n v="4085.0"/>
        <n v="4015.0"/>
        <n v="3975.0"/>
        <n v="3973.0"/>
        <n v="3933.0"/>
        <n v="3802.0"/>
        <n v="3775.0"/>
        <n v="3663.0"/>
        <n v="3597.0"/>
        <n v="3488.0"/>
        <n v="3462.0"/>
        <n v="3410.0"/>
        <n v="3380.0"/>
        <n v="3334.0"/>
        <n v="3231.0"/>
        <n v="3203.0"/>
        <n v="3083.0"/>
        <n v="2853.0"/>
      </sharedItems>
    </cacheField>
    <cacheField name="GDP per capita" numFmtId="3">
      <sharedItems containsSemiMixedTypes="0" containsString="0" containsNumber="1" containsInteger="1">
        <n v="1340.0"/>
        <n v="1383.0"/>
        <n v="1488.0"/>
        <n v="1380.0"/>
        <n v="1396.0"/>
        <n v="1452.0"/>
        <n v="1387.0"/>
        <n v="1303.0"/>
        <n v="1365.0"/>
        <n v="1376.0"/>
        <n v="1372.0"/>
        <n v="1034.0"/>
        <n v="1276.0"/>
        <n v="1609.0"/>
        <n v="1333.0"/>
        <n v="1499.0"/>
        <n v="1373.0"/>
        <n v="1356.0"/>
        <n v="1433.0"/>
        <n v="1269.0"/>
        <n v="1503.0"/>
        <n v="1300.0"/>
        <n v="1070.0"/>
        <n v="1324.0"/>
        <n v="1368.0"/>
        <n v="1159.0"/>
        <n v="800.0"/>
        <n v="1403.0"/>
        <n v="1684.0"/>
        <n v="1286.0"/>
        <n v="1149.0"/>
        <n v="1004.0"/>
        <n v="1124.0"/>
        <n v="1572.0"/>
        <n v="794.0"/>
        <n v="1294.0"/>
        <n v="1362.0"/>
        <n v="1246.0"/>
        <n v="1231.0"/>
        <n v="1206.0"/>
        <n v="745.0"/>
        <n v="1238.0"/>
        <n v="985.0"/>
        <n v="1258.0"/>
        <n v="694.0"/>
        <n v="882.0"/>
        <n v="1092.0"/>
        <n v="1162.0"/>
        <n v="1263.0"/>
        <n v="912.0"/>
        <n v="1500.0"/>
        <n v="1050.0"/>
        <n v="1187.0"/>
        <n v="1301.0"/>
        <n v="1237.0"/>
        <n v="831.0"/>
        <n v="1120.0"/>
        <n v="1327.0"/>
        <n v="642.0"/>
        <n v="1173.0"/>
        <n v="776.0"/>
        <n v="1201.0"/>
        <n v="855.0"/>
        <n v="960.0"/>
        <n v="1221.0"/>
        <n v="677.0"/>
        <n v="1183.0"/>
        <n v="807.0"/>
        <n v="685.0"/>
        <n v="1044.0"/>
        <n v="1051.0"/>
        <n v="493.0"/>
        <n v="1155.0"/>
        <n v="1438.0"/>
        <n v="1015.0"/>
        <n v="945.0"/>
        <n v="1067.0"/>
        <n v="1181.0"/>
        <n v="948.0"/>
        <n v="983.0"/>
        <n v="696.0"/>
        <n v="551.0"/>
        <n v="1052.0"/>
        <n v="1002.0"/>
        <n v="801.0"/>
        <n v="1043.0"/>
        <n v="987.0"/>
        <n v="931.0"/>
        <n v="1029.0"/>
        <n v="741.0"/>
        <n v="813.0"/>
        <n v="549.0"/>
        <n v="611.0"/>
        <n v="569.0"/>
        <n v="446.0"/>
        <n v="837.0"/>
        <n v="393.0"/>
        <n v="673.0"/>
        <n v="1057.0"/>
        <n v="764.0"/>
        <n v="947.0"/>
        <n v="574.0"/>
        <n v="657.0"/>
        <n v="450.0"/>
        <n v="0.0"/>
        <n v="879.0"/>
        <n v="138.0"/>
        <n v="331.0"/>
        <n v="850.0"/>
        <n v="1100.0"/>
        <n v="380.0"/>
        <n v="886.0"/>
        <n v="308.0"/>
        <n v="512.0"/>
        <n v="570.0"/>
        <n v="204.0"/>
        <n v="921.0"/>
        <n v="562.0"/>
        <n v="94.0"/>
        <n v="385.0"/>
        <n v="268.0"/>
        <n v="949.0"/>
        <n v="710.0"/>
        <n v="350.0"/>
        <n v="820.0"/>
        <n v="336.0"/>
        <n v="811.0"/>
        <n v="332.0"/>
        <n v="913.0"/>
        <n v="578.0"/>
        <n v="275.0"/>
        <n v="755.0"/>
        <n v="73.0"/>
        <n v="274.0"/>
        <n v="489.0"/>
        <n v="46.0"/>
        <n v="366.0"/>
        <n v="323.0"/>
        <n v="1041.0"/>
        <n v="619.0"/>
        <n v="191.0"/>
        <n v="287.0"/>
        <n v="359.0"/>
        <n v="476.0"/>
        <n v="26.0"/>
        <n v="306.0"/>
      </sharedItems>
    </cacheField>
    <cacheField name="Social support" numFmtId="3">
      <sharedItems containsSemiMixedTypes="0" containsString="0" containsNumber="1" containsInteger="1">
        <n v="1587.0"/>
        <n v="1573.0"/>
        <n v="1582.0"/>
        <n v="1624.0"/>
        <n v="1522.0"/>
        <n v="1526.0"/>
        <n v="1487.0"/>
        <n v="1557.0"/>
        <n v="1505.0"/>
        <n v="1475.0"/>
        <n v="1548.0"/>
        <n v="1441.0"/>
        <n v="1455.0"/>
        <n v="1479.0"/>
        <n v="1538.0"/>
        <n v="1553.0"/>
        <n v="1454.0"/>
        <n v="1504.0"/>
        <n v="1457.0"/>
        <n v="1310.0"/>
        <n v="1520.0"/>
        <n v="1323.0"/>
        <n v="1472.0"/>
        <n v="1430.0"/>
        <n v="1369.0"/>
        <n v="1269.0"/>
        <n v="1357.0"/>
        <n v="1313.0"/>
        <n v="1484.0"/>
        <n v="1442.0"/>
        <n v="1439.0"/>
        <n v="1465.0"/>
        <n v="1463.0"/>
        <n v="1242.0"/>
        <n v="1488.0"/>
        <n v="1368.0"/>
        <n v="1477.0"/>
        <n v="1438.0"/>
        <n v="1529.0"/>
        <n v="1515.0"/>
        <n v="1410.0"/>
        <n v="1523.0"/>
        <n v="1325.0"/>
        <n v="1232.0"/>
        <n v="1432.0"/>
        <n v="1223.0"/>
        <n v="1312.0"/>
        <n v="1319.0"/>
        <n v="1409.0"/>
        <n v="1219.0"/>
        <n v="1528.0"/>
        <n v="1478.0"/>
        <n v="1402.0"/>
        <n v="1419.0"/>
        <n v="1236.0"/>
        <n v="1508.0"/>
        <n v="1209.0"/>
        <n v="1252.0"/>
        <n v="1274.0"/>
        <n v="1431.0"/>
        <n v="886.0"/>
        <n v="1452.0"/>
        <n v="1293.0"/>
        <n v="1383.0"/>
        <n v="1328.0"/>
        <n v="1303.0"/>
        <n v="1361.0"/>
        <n v="1098.0"/>
        <n v="1266.0"/>
        <n v="1277.0"/>
        <n v="1401.0"/>
        <n v="1212.0"/>
        <n v="1360.0"/>
        <n v="1171.0"/>
        <n v="1156.0"/>
        <n v="1531.0"/>
        <n v="1294.0"/>
        <n v="1111.0"/>
        <n v="1160.0"/>
        <n v="782.0"/>
        <n v="1147.0"/>
        <n v="1224.0"/>
        <n v="1203.0"/>
        <n v="1125.0"/>
        <n v="1346.0"/>
        <n v="1321.0"/>
        <n v="910.0"/>
        <n v="1513.0"/>
        <n v="868.0"/>
        <n v="808.0"/>
        <n v="1226.0"/>
        <n v="1225.0"/>
        <n v="437.0"/>
        <n v="799.0"/>
        <n v="1183.0"/>
        <n v="1030.0"/>
        <n v="1351.0"/>
        <n v="848.0"/>
        <n v="1427.0"/>
        <n v="1122.0"/>
        <n v="1247.0"/>
        <n v="1134.0"/>
        <n v="698.0"/>
        <n v="774.0"/>
        <n v="1056.0"/>
        <n v="1055.0"/>
        <n v="842.0"/>
        <n v="829.0"/>
        <n v="666.0"/>
        <n v="939.0"/>
        <n v="983.0"/>
        <n v="1167.0"/>
        <n v="986.0"/>
        <n v="1000.0"/>
        <n v="928.0"/>
        <n v="980.0"/>
        <n v="1105.0"/>
        <n v="841.0"/>
        <n v="1265.0"/>
        <n v="1181.0"/>
        <n v="766.0"/>
        <n v="1390.0"/>
        <n v="1033.0"/>
        <n v="1149.0"/>
        <n v="1069.0"/>
        <n v="1039.0"/>
        <n v="1058.0"/>
        <n v="572.0"/>
        <n v="765.0"/>
        <n v="922.0"/>
        <n v="757.0"/>
        <n v="916.0"/>
        <n v="1169.0"/>
        <n v="447.0"/>
        <n v="1114.0"/>
        <n v="688.0"/>
        <n v="1145.0"/>
        <n v="378.0"/>
        <n v="560.0"/>
        <n v="1163.0"/>
        <n v="711.0"/>
        <n v="885.0"/>
        <n v="517.0"/>
        <n v="0.0"/>
        <n v="575.0"/>
      </sharedItems>
    </cacheField>
    <cacheField name="Healthy life expectancy" numFmtId="3">
      <sharedItems containsSemiMixedTypes="0" containsString="0" containsNumber="1" containsInteger="1">
        <n v="986.0"/>
        <n v="996.0"/>
        <n v="1028.0"/>
        <n v="1026.0"/>
        <n v="999.0"/>
        <n v="1052.0"/>
        <n v="1009.0"/>
        <n v="1039.0"/>
        <n v="1016.0"/>
        <n v="1036.0"/>
        <n v="963.0"/>
        <n v="1029.0"/>
        <n v="1012.0"/>
        <n v="987.0"/>
        <n v="874.0"/>
        <n v="920.0"/>
        <n v="825.0"/>
        <n v="861.0"/>
        <n v="1045.0"/>
        <n v="914.0"/>
        <n v="746.0"/>
        <n v="795.0"/>
        <n v="871.0"/>
        <n v="1062.0"/>
        <n v="910.0"/>
        <n v="802.0"/>
        <n v="891.0"/>
        <n v="1141.0"/>
        <n v="789.0"/>
        <n v="881.0"/>
        <n v="713.0"/>
        <n v="884.0"/>
        <n v="756.0"/>
        <n v="818.0"/>
        <n v="841.0"/>
        <n v="953.0"/>
        <n v="835.0"/>
        <n v="758.0"/>
        <n v="1042.0"/>
        <n v="868.0"/>
        <n v="808.0"/>
        <n v="828.0"/>
        <n v="812.0"/>
        <n v="831.0"/>
        <n v="798.0"/>
        <n v="1088.0"/>
        <n v="729.0"/>
        <n v="706.0"/>
        <n v="777.0"/>
        <n v="854.0"/>
        <n v="535.0"/>
        <n v="726.0"/>
        <n v="657.0"/>
        <n v="739.0"/>
        <n v="673.0"/>
        <n v="718.0"/>
        <n v="1122.0"/>
        <n v="779.0"/>
        <n v="845.0"/>
        <n v="667.0"/>
        <n v="838.0"/>
        <n v="245.0"/>
        <n v="723.0"/>
        <n v="785.0"/>
        <n v="782.0"/>
        <n v="769.0"/>
        <n v="815.0"/>
        <n v="660.0"/>
        <n v="893.0"/>
        <n v="851.0"/>
        <n v="604.0"/>
        <n v="331.0"/>
        <n v="486.0"/>
        <n v="232.0"/>
        <n v="677.0"/>
        <n v="397.0"/>
        <n v="508.0"/>
        <n v="571.0"/>
        <n v="551.0"/>
        <n v="469.0"/>
        <n v="805.0"/>
        <n v="637.0"/>
        <n v="672.0"/>
        <n v="268.0"/>
        <n v="477.0"/>
        <n v="366.0"/>
        <n v="380.0"/>
        <n v="375.0"/>
        <n v="752.0"/>
        <n v="428.0"/>
        <n v="581.0"/>
        <n v="489.0"/>
        <n v="390.0"/>
        <n v="574.0"/>
        <n v="357.0"/>
        <n v="308.0"/>
        <n v="242.0"/>
        <n v="555.0"/>
        <n v="192.0"/>
        <n v="532.0"/>
        <n v="0.0"/>
        <n v="443.0"/>
        <n v="644.0"/>
        <n v="426.0"/>
        <n v="410.0"/>
        <n v="588.0"/>
        <n v="505.0"/>
        <n v="168.0"/>
        <n v="433.0"/>
        <n v="449.0"/>
        <n v="538.0"/>
        <n v="440.0"/>
        <n v="495.0"/>
        <n v="463.0"/>
        <n v="614.0"/>
        <n v="499.0"/>
        <n v="361.0"/>
        <n v="105.0"/>
        <n v="295.0"/>
      </sharedItems>
    </cacheField>
    <cacheField name="Freedom to make life choices" numFmtId="3">
      <sharedItems containsSemiMixedTypes="0" containsString="0" containsNumber="1" containsInteger="1">
        <n v="596.0"/>
        <n v="592.0"/>
        <n v="603.0"/>
        <n v="591.0"/>
        <n v="557.0"/>
        <n v="572.0"/>
        <n v="574.0"/>
        <n v="585.0"/>
        <n v="584.0"/>
        <n v="532.0"/>
        <n v="558.0"/>
        <n v="371.0"/>
        <n v="526.0"/>
        <n v="450.0"/>
        <n v="516.0"/>
        <n v="495.0"/>
        <n v="473.0"/>
        <n v="454.0"/>
        <n v="457.0"/>
        <n v="598.0"/>
        <n v="564.0"/>
        <n v="433.0"/>
        <n v="436.0"/>
        <n v="351.0"/>
        <n v="357.0"/>
        <n v="535.0"/>
        <n v="439.0"/>
        <n v="555.0"/>
        <n v="362.0"/>
        <n v="390.0"/>
        <n v="523.0"/>
        <n v="556.0"/>
        <n v="430.0"/>
        <n v="231.0"/>
        <n v="536.0"/>
        <n v="334.0"/>
        <n v="489.0"/>
        <n v="483.0"/>
        <n v="631.0"/>
        <n v="291.0"/>
        <n v="470.0"/>
        <n v="435.0"/>
        <n v="471.0"/>
        <n v="462.0"/>
        <n v="406.0"/>
        <n v="498.0"/>
        <n v="493.0"/>
        <n v="264.0"/>
        <n v="159.0"/>
        <n v="490.0"/>
        <n v="445.0"/>
        <n v="507.0"/>
        <n v="410.0"/>
        <n v="511.0"/>
        <n v="199.0"/>
        <n v="514.0"/>
        <n v="417.0"/>
        <n v="455.0"/>
        <n v="508.0"/>
        <n v="313.0"/>
        <n v="282.0"/>
        <n v="245.0"/>
        <n v="416.0"/>
        <n v="197.0"/>
        <n v="389.0"/>
        <n v="296.0"/>
        <n v="440.0"/>
        <n v="497.0"/>
        <n v="212.0"/>
        <n v="195.0"/>
        <n v="235.0"/>
        <n v="67.0"/>
        <n v="317.0"/>
        <n v="345.0"/>
        <n v="426.0"/>
        <n v="394.0"/>
        <n v="86.0"/>
        <n v="418.0"/>
        <n v="216.0"/>
        <n v="491.0"/>
        <n v="521.0"/>
        <n v="543.0"/>
        <n v="381.0"/>
        <n v="311.0"/>
        <n v="352.0"/>
        <n v="383.0"/>
        <n v="349.0"/>
        <n v="372.0"/>
        <n v="295.0"/>
        <n v="547.0"/>
        <n v="154.0"/>
        <n v="609.0"/>
        <n v="225.0"/>
        <n v="292.0"/>
        <n v="559.0"/>
        <n v="401.0"/>
        <n v="318.0"/>
        <n v="255.0"/>
        <n v="283.0"/>
        <n v="305.0"/>
        <n v="332.0"/>
        <n v="346.0"/>
        <n v="382.0"/>
        <n v="431.0"/>
        <n v="66.0"/>
        <n v="494.0"/>
        <n v="167.0"/>
        <n v="527.0"/>
        <n v="241.0"/>
        <n v="269.0"/>
        <n v="327.0"/>
        <n v="309.0"/>
        <n v="525.0"/>
        <n v="174.0"/>
        <n v="178.0"/>
        <n v="344.0"/>
        <n v="356.0"/>
        <n v="293.0"/>
        <n v="370.0"/>
        <n v="142.0"/>
        <n v="148.0"/>
        <n v="359.0"/>
        <n v="220.0"/>
        <n v="361.0"/>
        <n v="26.0"/>
        <n v="13.0"/>
        <n v="443.0"/>
        <n v="143.0"/>
        <n v="0.0"/>
        <n v="10.0"/>
      </sharedItems>
    </cacheField>
    <cacheField name="Generosity" numFmtId="3">
      <sharedItems containsSemiMixedTypes="0" containsString="0" containsNumber="1" containsInteger="1">
        <n v="153.0"/>
        <n v="252.0"/>
        <n v="271.0"/>
        <n v="354.0"/>
        <n v="322.0"/>
        <n v="263.0"/>
        <n v="267.0"/>
        <n v="330.0"/>
        <n v="285.0"/>
        <n v="244.0"/>
        <n v="332.0"/>
        <n v="144.0"/>
        <n v="261.0"/>
        <n v="194.0"/>
        <n v="348.0"/>
        <n v="298.0"/>
        <n v="160.0"/>
        <n v="280.0"/>
        <n v="46.0"/>
        <n v="262.0"/>
        <n v="375.0"/>
        <n v="74.0"/>
        <n v="111.0"/>
        <n v="242.0"/>
        <n v="187.0"/>
        <n v="175.0"/>
        <n v="80.0"/>
        <n v="220.0"/>
        <n v="109.0"/>
        <n v="99.0"/>
        <n v="127.0"/>
        <n v="93.0"/>
        <n v="158.0"/>
        <n v="255.0"/>
        <n v="121.0"/>
        <n v="185.0"/>
        <n v="117.0"/>
        <n v="43.0"/>
        <n v="200.0"/>
        <n v="66.0"/>
        <n v="83.0"/>
        <n v="190.0"/>
        <n v="126.0"/>
        <n v="142.0"/>
        <n v="359.0"/>
        <n v="75.0"/>
        <n v="103.0"/>
        <n v="107.0"/>
        <n v="215.0"/>
        <n v="69.0"/>
        <n v="246.0"/>
        <n v="146.0"/>
        <n v="137.0"/>
        <n v="81.0"/>
        <n v="184.0"/>
        <n v="191.0"/>
        <n v="47.0"/>
        <n v="82.0"/>
        <n v="181.0"/>
        <n v="133.0"/>
        <n v="230.0"/>
        <n v="119.0"/>
        <n v="258.0"/>
        <n v="113.0"/>
        <n v="260.0"/>
        <n v="94.0"/>
        <n v="0.0"/>
        <n v="235.0"/>
        <n v="300.0"/>
        <n v="73.0"/>
        <n v="36.0"/>
        <n v="35.0"/>
        <n v="166.0"/>
        <n v="498.0"/>
        <n v="58.0"/>
        <n v="147.0"/>
        <n v="370.0"/>
        <n v="245.0"/>
        <n v="154.0"/>
        <n v="110.0"/>
        <n v="105.0"/>
        <n v="266.0"/>
        <n v="130.0"/>
        <n v="178.0"/>
        <n v="64.0"/>
        <n v="232.0"/>
        <n v="243.0"/>
        <n v="70.0"/>
        <n v="188.0"/>
        <n v="177.0"/>
        <n v="95.0"/>
        <n v="270.0"/>
        <n v="207.0"/>
        <n v="269.0"/>
        <n v="372.0"/>
        <n v="106.0"/>
        <n v="197.0"/>
        <n v="59.0"/>
        <n v="148.0"/>
        <n v="212.0"/>
        <n v="566.0"/>
        <n v="198.0"/>
        <n v="209.0"/>
        <n v="76.0"/>
        <n v="247.0"/>
        <n v="233.0"/>
        <n v="275.0"/>
        <n v="169.0"/>
        <n v="176.0"/>
        <n v="151.0"/>
        <n v="419.0"/>
        <n v="25.0"/>
        <n v="331.0"/>
        <n v="218.0"/>
        <n v="108.0"/>
        <n v="217.0"/>
        <n v="276.0"/>
        <n v="202.0"/>
      </sharedItems>
    </cacheField>
    <cacheField name="Perceptions of corruption" numFmtId="3">
      <sharedItems containsSemiMixedTypes="0" containsString="0" containsNumber="1" containsInteger="1">
        <n v="393.0"/>
        <n v="410.0"/>
        <n v="341.0"/>
        <n v="118.0"/>
        <n v="298.0"/>
        <n v="343.0"/>
        <n v="373.0"/>
        <n v="380.0"/>
        <n v="308.0"/>
        <n v="226.0"/>
        <n v="290.0"/>
        <n v="93.0"/>
        <n v="82.0"/>
        <n v="316.0"/>
        <n v="278.0"/>
        <n v="310.0"/>
        <n v="265.0"/>
        <n v="210.0"/>
        <n v="128.0"/>
        <n v="36.0"/>
        <n v="182.0"/>
        <n v="151.0"/>
        <n v="73.0"/>
        <n v="183.0"/>
        <n v="97.0"/>
        <n v="56.0"/>
        <n v="78.0"/>
        <n v="132.0"/>
        <n v="167.0"/>
        <n v="79.0"/>
        <n v="54.0"/>
        <n v="86.0"/>
        <n v="150.0"/>
        <n v="453.0"/>
        <n v="74.0"/>
        <n v="30.0"/>
        <n v="110.0"/>
        <n v="14.0"/>
        <n v="16.0"/>
        <n v="50.0"/>
        <n v="240.0"/>
        <n v="42.0"/>
        <n v="34.0"/>
        <n v="57.0"/>
        <n v="127.0"/>
        <n v="6.0"/>
        <n v="5.0"/>
        <n v="41.0"/>
        <n v="87.0"/>
        <n v="28.0"/>
        <n v="64.0"/>
        <n v="161.0"/>
        <n v="60.0"/>
        <n v="140.0"/>
        <n v="96.0"/>
        <n v="20.0"/>
        <n v="80.0"/>
        <n v="162.0"/>
        <n v="27.0"/>
        <n v="25.0"/>
        <n v="98.0"/>
        <n v="31.0"/>
        <n v="107.0"/>
        <n v="39.0"/>
        <n v="0.0"/>
        <n v="152.0"/>
        <n v="144.0"/>
        <n v="22.0"/>
        <n v="287.0"/>
        <n v="101.0"/>
        <n v="106.0"/>
        <n v="24.0"/>
        <n v="142.0"/>
        <n v="38.0"/>
        <n v="23.0"/>
        <n v="114.0"/>
        <n v="76.0"/>
        <n v="100.0"/>
        <n v="37.0"/>
        <n v="4.0"/>
        <n v="40.0"/>
        <n v="90.0"/>
        <n v="89.0"/>
        <n v="130.0"/>
        <n v="55.0"/>
        <n v="164.0"/>
        <n v="47.0"/>
        <n v="62.0"/>
        <n v="66.0"/>
        <n v="72.0"/>
        <n v="270.0"/>
        <n v="102.0"/>
        <n v="113.0"/>
        <n v="125.0"/>
        <n v="53.0"/>
        <n v="88.0"/>
        <n v="138.0"/>
        <n v="143.0"/>
        <n v="52.0"/>
        <n v="45.0"/>
        <n v="172.0"/>
        <n v="10.0"/>
        <n v="135.0"/>
        <n v="67.0"/>
        <n v="85.0"/>
        <n v="33.0"/>
        <n v="180.0"/>
        <n v="141.0"/>
        <n v="77.0"/>
        <n v="411.0"/>
        <n v="147.0"/>
        <n v="35.0"/>
        <n v="91.0"/>
      </sharedItems>
    </cacheField>
    <cacheField name="Número de caracteres de nombre pais" numFmtId="0">
      <sharedItems containsSemiMixedTypes="0" containsString="0" containsNumber="1" containsInteger="1">
        <n v="7.0"/>
        <n v="6.0"/>
        <n v="11.0"/>
        <n v="9.0"/>
        <n v="10.0"/>
        <n v="14.0"/>
        <n v="13.0"/>
        <n v="20.0"/>
        <n v="5.0"/>
        <n v="12.0"/>
        <n v="8.0"/>
        <n v="17.0"/>
        <n v="15.0"/>
        <n v="4.0"/>
        <n v="18.0"/>
        <n v="22.0"/>
        <n v="19.0"/>
        <n v="23.0"/>
        <n v="16.0"/>
        <n v="24.0"/>
        <n v="0.0"/>
      </sharedItems>
    </cacheField>
    <cacheField name="rango_nuevo" numFmtId="0">
      <sharedItems>
        <s v="Alto"/>
        <s v="Medio"/>
        <s v="Baj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5" firstHeaderRow="0" firstDataRow="1" firstDataCol="0"/>
  <pivotFields>
    <pivotField name="Overall 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untry or 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GDP per capita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Social suppor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Healthy life expectanc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Freedom to make life choic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Generos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Perceptions of corruptio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Número de caracteres de nombre p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ango_nuevo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0"/>
  </rowFields>
  <dataFields>
    <dataField name="AVERAGE of Score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75"/>
    <col customWidth="1" min="3" max="3" width="14.88"/>
    <col customWidth="1" min="4" max="4" width="14.38"/>
    <col customWidth="1" min="5" max="5" width="15.25"/>
    <col customWidth="1" min="6" max="6" width="15.0"/>
    <col customWidth="1" min="7" max="7" width="14.25"/>
    <col customWidth="1" min="8" max="8" width="16.38"/>
    <col customWidth="1" min="9" max="9" width="19.5"/>
    <col customWidth="1" min="10" max="10" width="29.5"/>
    <col customWidth="1" min="11" max="11" width="2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3">
        <v>7769.0</v>
      </c>
      <c r="D2" s="3">
        <v>1340.0</v>
      </c>
      <c r="E2" s="3">
        <v>1587.0</v>
      </c>
      <c r="F2" s="3">
        <v>986.0</v>
      </c>
      <c r="G2" s="3">
        <v>596.0</v>
      </c>
      <c r="H2" s="3">
        <v>153.0</v>
      </c>
      <c r="I2" s="3">
        <v>393.0</v>
      </c>
      <c r="J2" s="4">
        <f t="shared" ref="J2:J157" si="1">LEN(B3)
</f>
        <v>7</v>
      </c>
      <c r="K2" s="4" t="str">
        <f t="shared" ref="K2:K157" si="2">IF(L2&gt;=6,"Alto",IF(L2&gt;=4,"Medio","Bajo"))</f>
        <v>Alto</v>
      </c>
      <c r="L2" s="4">
        <f t="shared" ref="L2:L157" si="3">C2/1000
</f>
        <v>7.769</v>
      </c>
    </row>
    <row r="3">
      <c r="A3" s="1">
        <v>2.0</v>
      </c>
      <c r="B3" s="1" t="s">
        <v>13</v>
      </c>
      <c r="C3" s="3">
        <v>7600.0</v>
      </c>
      <c r="D3" s="3">
        <v>1383.0</v>
      </c>
      <c r="E3" s="3">
        <v>1573.0</v>
      </c>
      <c r="F3" s="3">
        <v>996.0</v>
      </c>
      <c r="G3" s="3">
        <v>592.0</v>
      </c>
      <c r="H3" s="3">
        <v>252.0</v>
      </c>
      <c r="I3" s="3">
        <v>410.0</v>
      </c>
      <c r="J3" s="4">
        <f t="shared" si="1"/>
        <v>6</v>
      </c>
      <c r="K3" s="4" t="str">
        <f t="shared" si="2"/>
        <v>Alto</v>
      </c>
      <c r="L3" s="4">
        <f t="shared" si="3"/>
        <v>7.6</v>
      </c>
    </row>
    <row r="4">
      <c r="A4" s="1">
        <v>3.0</v>
      </c>
      <c r="B4" s="1" t="s">
        <v>14</v>
      </c>
      <c r="C4" s="3">
        <v>7554.0</v>
      </c>
      <c r="D4" s="3">
        <v>1488.0</v>
      </c>
      <c r="E4" s="3">
        <v>1582.0</v>
      </c>
      <c r="F4" s="3">
        <v>1028.0</v>
      </c>
      <c r="G4" s="3">
        <v>603.0</v>
      </c>
      <c r="H4" s="3">
        <v>271.0</v>
      </c>
      <c r="I4" s="3">
        <v>341.0</v>
      </c>
      <c r="J4" s="4">
        <f t="shared" si="1"/>
        <v>7</v>
      </c>
      <c r="K4" s="4" t="str">
        <f t="shared" si="2"/>
        <v>Alto</v>
      </c>
      <c r="L4" s="4">
        <f t="shared" si="3"/>
        <v>7.554</v>
      </c>
    </row>
    <row r="5">
      <c r="A5" s="1">
        <v>4.0</v>
      </c>
      <c r="B5" s="1" t="s">
        <v>15</v>
      </c>
      <c r="C5" s="3">
        <v>7494.0</v>
      </c>
      <c r="D5" s="3">
        <v>1380.0</v>
      </c>
      <c r="E5" s="3">
        <v>1624.0</v>
      </c>
      <c r="F5" s="3">
        <v>1026.0</v>
      </c>
      <c r="G5" s="3">
        <v>591.0</v>
      </c>
      <c r="H5" s="3">
        <v>354.0</v>
      </c>
      <c r="I5" s="3">
        <v>118.0</v>
      </c>
      <c r="J5" s="4">
        <f t="shared" si="1"/>
        <v>11</v>
      </c>
      <c r="K5" s="4" t="str">
        <f t="shared" si="2"/>
        <v>Alto</v>
      </c>
      <c r="L5" s="4">
        <f t="shared" si="3"/>
        <v>7.494</v>
      </c>
    </row>
    <row r="6">
      <c r="A6" s="1">
        <v>5.0</v>
      </c>
      <c r="B6" s="1" t="s">
        <v>16</v>
      </c>
      <c r="C6" s="3">
        <v>7488.0</v>
      </c>
      <c r="D6" s="3">
        <v>1396.0</v>
      </c>
      <c r="E6" s="3">
        <v>1522.0</v>
      </c>
      <c r="F6" s="3">
        <v>999.0</v>
      </c>
      <c r="G6" s="3">
        <v>557.0</v>
      </c>
      <c r="H6" s="3">
        <v>322.0</v>
      </c>
      <c r="I6" s="3">
        <v>298.0</v>
      </c>
      <c r="J6" s="4">
        <f t="shared" si="1"/>
        <v>11</v>
      </c>
      <c r="K6" s="4" t="str">
        <f t="shared" si="2"/>
        <v>Alto</v>
      </c>
      <c r="L6" s="4">
        <f t="shared" si="3"/>
        <v>7.488</v>
      </c>
    </row>
    <row r="7">
      <c r="A7" s="1">
        <v>6.0</v>
      </c>
      <c r="B7" s="1" t="s">
        <v>17</v>
      </c>
      <c r="C7" s="3">
        <v>7480.0</v>
      </c>
      <c r="D7" s="3">
        <v>1452.0</v>
      </c>
      <c r="E7" s="3">
        <v>1526.0</v>
      </c>
      <c r="F7" s="3">
        <v>1052.0</v>
      </c>
      <c r="G7" s="3">
        <v>572.0</v>
      </c>
      <c r="H7" s="3">
        <v>263.0</v>
      </c>
      <c r="I7" s="3">
        <v>343.0</v>
      </c>
      <c r="J7" s="4">
        <f t="shared" si="1"/>
        <v>6</v>
      </c>
      <c r="K7" s="4" t="str">
        <f t="shared" si="2"/>
        <v>Alto</v>
      </c>
      <c r="L7" s="4">
        <f t="shared" si="3"/>
        <v>7.48</v>
      </c>
    </row>
    <row r="8">
      <c r="A8" s="1">
        <v>7.0</v>
      </c>
      <c r="B8" s="1" t="s">
        <v>18</v>
      </c>
      <c r="C8" s="3">
        <v>7343.0</v>
      </c>
      <c r="D8" s="3">
        <v>1387.0</v>
      </c>
      <c r="E8" s="3">
        <v>1487.0</v>
      </c>
      <c r="F8" s="3">
        <v>1009.0</v>
      </c>
      <c r="G8" s="3">
        <v>574.0</v>
      </c>
      <c r="H8" s="3">
        <v>267.0</v>
      </c>
      <c r="I8" s="3">
        <v>373.0</v>
      </c>
      <c r="J8" s="4">
        <f t="shared" si="1"/>
        <v>11</v>
      </c>
      <c r="K8" s="4" t="str">
        <f t="shared" si="2"/>
        <v>Alto</v>
      </c>
      <c r="L8" s="4">
        <f t="shared" si="3"/>
        <v>7.343</v>
      </c>
    </row>
    <row r="9">
      <c r="A9" s="1">
        <v>8.0</v>
      </c>
      <c r="B9" s="1" t="s">
        <v>19</v>
      </c>
      <c r="C9" s="3">
        <v>7307.0</v>
      </c>
      <c r="D9" s="3">
        <v>1303.0</v>
      </c>
      <c r="E9" s="3">
        <v>1557.0</v>
      </c>
      <c r="F9" s="3">
        <v>1026.0</v>
      </c>
      <c r="G9" s="3">
        <v>585.0</v>
      </c>
      <c r="H9" s="3">
        <v>330.0</v>
      </c>
      <c r="I9" s="3">
        <v>380.0</v>
      </c>
      <c r="J9" s="4">
        <f t="shared" si="1"/>
        <v>6</v>
      </c>
      <c r="K9" s="4" t="str">
        <f t="shared" si="2"/>
        <v>Alto</v>
      </c>
      <c r="L9" s="4">
        <f t="shared" si="3"/>
        <v>7.307</v>
      </c>
    </row>
    <row r="10">
      <c r="A10" s="1">
        <v>9.0</v>
      </c>
      <c r="B10" s="1" t="s">
        <v>20</v>
      </c>
      <c r="C10" s="3">
        <v>7278.0</v>
      </c>
      <c r="D10" s="3">
        <v>1365.0</v>
      </c>
      <c r="E10" s="3">
        <v>1505.0</v>
      </c>
      <c r="F10" s="3">
        <v>1039.0</v>
      </c>
      <c r="G10" s="3">
        <v>584.0</v>
      </c>
      <c r="H10" s="3">
        <v>285.0</v>
      </c>
      <c r="I10" s="3">
        <v>308.0</v>
      </c>
      <c r="J10" s="4">
        <f t="shared" si="1"/>
        <v>7</v>
      </c>
      <c r="K10" s="4" t="str">
        <f t="shared" si="2"/>
        <v>Alto</v>
      </c>
      <c r="L10" s="4">
        <f t="shared" si="3"/>
        <v>7.278</v>
      </c>
    </row>
    <row r="11">
      <c r="A11" s="1">
        <v>10.0</v>
      </c>
      <c r="B11" s="1" t="s">
        <v>21</v>
      </c>
      <c r="C11" s="3">
        <v>7246.0</v>
      </c>
      <c r="D11" s="3">
        <v>1376.0</v>
      </c>
      <c r="E11" s="3">
        <v>1475.0</v>
      </c>
      <c r="F11" s="3">
        <v>1016.0</v>
      </c>
      <c r="G11" s="3">
        <v>532.0</v>
      </c>
      <c r="H11" s="3">
        <v>244.0</v>
      </c>
      <c r="I11" s="3">
        <v>226.0</v>
      </c>
      <c r="J11" s="4">
        <f t="shared" si="1"/>
        <v>9</v>
      </c>
      <c r="K11" s="4" t="str">
        <f t="shared" si="2"/>
        <v>Alto</v>
      </c>
      <c r="L11" s="4">
        <f t="shared" si="3"/>
        <v>7.246</v>
      </c>
    </row>
    <row r="12">
      <c r="A12" s="1">
        <v>11.0</v>
      </c>
      <c r="B12" s="1" t="s">
        <v>22</v>
      </c>
      <c r="C12" s="3">
        <v>7228.0</v>
      </c>
      <c r="D12" s="3">
        <v>1372.0</v>
      </c>
      <c r="E12" s="3">
        <v>1548.0</v>
      </c>
      <c r="F12" s="3">
        <v>1036.0</v>
      </c>
      <c r="G12" s="3">
        <v>557.0</v>
      </c>
      <c r="H12" s="3">
        <v>332.0</v>
      </c>
      <c r="I12" s="3">
        <v>290.0</v>
      </c>
      <c r="J12" s="4">
        <f t="shared" si="1"/>
        <v>10</v>
      </c>
      <c r="K12" s="4" t="str">
        <f t="shared" si="2"/>
        <v>Alto</v>
      </c>
      <c r="L12" s="4">
        <f t="shared" si="3"/>
        <v>7.228</v>
      </c>
    </row>
    <row r="13">
      <c r="A13" s="1">
        <v>12.0</v>
      </c>
      <c r="B13" s="1" t="s">
        <v>23</v>
      </c>
      <c r="C13" s="3">
        <v>7167.0</v>
      </c>
      <c r="D13" s="3">
        <v>1034.0</v>
      </c>
      <c r="E13" s="3">
        <v>1441.0</v>
      </c>
      <c r="F13" s="3">
        <v>963.0</v>
      </c>
      <c r="G13" s="3">
        <v>558.0</v>
      </c>
      <c r="H13" s="3">
        <v>144.0</v>
      </c>
      <c r="I13" s="3">
        <v>93.0</v>
      </c>
      <c r="J13" s="4">
        <f t="shared" si="1"/>
        <v>6</v>
      </c>
      <c r="K13" s="4" t="str">
        <f t="shared" si="2"/>
        <v>Alto</v>
      </c>
      <c r="L13" s="4">
        <f t="shared" si="3"/>
        <v>7.167</v>
      </c>
    </row>
    <row r="14">
      <c r="A14" s="1">
        <v>13.0</v>
      </c>
      <c r="B14" s="1" t="s">
        <v>24</v>
      </c>
      <c r="C14" s="3">
        <v>7139.0</v>
      </c>
      <c r="D14" s="3">
        <v>1276.0</v>
      </c>
      <c r="E14" s="3">
        <v>1455.0</v>
      </c>
      <c r="F14" s="3">
        <v>1029.0</v>
      </c>
      <c r="G14" s="3">
        <v>371.0</v>
      </c>
      <c r="H14" s="3">
        <v>261.0</v>
      </c>
      <c r="I14" s="3">
        <v>82.0</v>
      </c>
      <c r="J14" s="4">
        <f t="shared" si="1"/>
        <v>10</v>
      </c>
      <c r="K14" s="4" t="str">
        <f t="shared" si="2"/>
        <v>Alto</v>
      </c>
      <c r="L14" s="4">
        <f t="shared" si="3"/>
        <v>7.139</v>
      </c>
    </row>
    <row r="15">
      <c r="A15" s="1">
        <v>14.0</v>
      </c>
      <c r="B15" s="1" t="s">
        <v>25</v>
      </c>
      <c r="C15" s="3">
        <v>7090.0</v>
      </c>
      <c r="D15" s="3">
        <v>1609.0</v>
      </c>
      <c r="E15" s="3">
        <v>1479.0</v>
      </c>
      <c r="F15" s="3">
        <v>1012.0</v>
      </c>
      <c r="G15" s="3">
        <v>526.0</v>
      </c>
      <c r="H15" s="3">
        <v>194.0</v>
      </c>
      <c r="I15" s="3">
        <v>316.0</v>
      </c>
      <c r="J15" s="4">
        <f t="shared" si="1"/>
        <v>14</v>
      </c>
      <c r="K15" s="4" t="str">
        <f t="shared" si="2"/>
        <v>Alto</v>
      </c>
      <c r="L15" s="4">
        <f t="shared" si="3"/>
        <v>7.09</v>
      </c>
    </row>
    <row r="16">
      <c r="A16" s="1">
        <v>15.0</v>
      </c>
      <c r="B16" s="1" t="s">
        <v>26</v>
      </c>
      <c r="C16" s="3">
        <v>7054.0</v>
      </c>
      <c r="D16" s="3">
        <v>1333.0</v>
      </c>
      <c r="E16" s="3">
        <v>1538.0</v>
      </c>
      <c r="F16" s="3">
        <v>996.0</v>
      </c>
      <c r="G16" s="3">
        <v>450.0</v>
      </c>
      <c r="H16" s="3">
        <v>348.0</v>
      </c>
      <c r="I16" s="3">
        <v>278.0</v>
      </c>
      <c r="J16" s="4">
        <f t="shared" si="1"/>
        <v>7</v>
      </c>
      <c r="K16" s="4" t="str">
        <f t="shared" si="2"/>
        <v>Alto</v>
      </c>
      <c r="L16" s="4">
        <f t="shared" si="3"/>
        <v>7.054</v>
      </c>
    </row>
    <row r="17">
      <c r="A17" s="1">
        <v>16.0</v>
      </c>
      <c r="B17" s="1" t="s">
        <v>27</v>
      </c>
      <c r="C17" s="3">
        <v>7021.0</v>
      </c>
      <c r="D17" s="3">
        <v>1499.0</v>
      </c>
      <c r="E17" s="3">
        <v>1553.0</v>
      </c>
      <c r="F17" s="3">
        <v>999.0</v>
      </c>
      <c r="G17" s="3">
        <v>516.0</v>
      </c>
      <c r="H17" s="3">
        <v>298.0</v>
      </c>
      <c r="I17" s="3">
        <v>310.0</v>
      </c>
      <c r="J17" s="4">
        <f t="shared" si="1"/>
        <v>7</v>
      </c>
      <c r="K17" s="4" t="str">
        <f t="shared" si="2"/>
        <v>Alto</v>
      </c>
      <c r="L17" s="4">
        <f t="shared" si="3"/>
        <v>7.021</v>
      </c>
    </row>
    <row r="18">
      <c r="A18" s="1">
        <v>17.0</v>
      </c>
      <c r="B18" s="1" t="s">
        <v>28</v>
      </c>
      <c r="C18" s="3">
        <v>6985.0</v>
      </c>
      <c r="D18" s="3">
        <v>1373.0</v>
      </c>
      <c r="E18" s="3">
        <v>1454.0</v>
      </c>
      <c r="F18" s="3">
        <v>987.0</v>
      </c>
      <c r="G18" s="3">
        <v>495.0</v>
      </c>
      <c r="H18" s="3">
        <v>261.0</v>
      </c>
      <c r="I18" s="3">
        <v>265.0</v>
      </c>
      <c r="J18" s="4">
        <f t="shared" si="1"/>
        <v>7</v>
      </c>
      <c r="K18" s="4" t="str">
        <f t="shared" si="2"/>
        <v>Alto</v>
      </c>
      <c r="L18" s="4">
        <f t="shared" si="3"/>
        <v>6.985</v>
      </c>
    </row>
    <row r="19">
      <c r="A19" s="1">
        <v>18.0</v>
      </c>
      <c r="B19" s="1" t="s">
        <v>29</v>
      </c>
      <c r="C19" s="3">
        <v>6923.0</v>
      </c>
      <c r="D19" s="3">
        <v>1356.0</v>
      </c>
      <c r="E19" s="3">
        <v>1504.0</v>
      </c>
      <c r="F19" s="3">
        <v>986.0</v>
      </c>
      <c r="G19" s="3">
        <v>473.0</v>
      </c>
      <c r="H19" s="3">
        <v>160.0</v>
      </c>
      <c r="I19" s="3">
        <v>210.0</v>
      </c>
      <c r="J19" s="4">
        <f t="shared" si="1"/>
        <v>13</v>
      </c>
      <c r="K19" s="4" t="str">
        <f t="shared" si="2"/>
        <v>Alto</v>
      </c>
      <c r="L19" s="4">
        <f t="shared" si="3"/>
        <v>6.923</v>
      </c>
    </row>
    <row r="20">
      <c r="A20" s="1">
        <v>19.0</v>
      </c>
      <c r="B20" s="1" t="s">
        <v>30</v>
      </c>
      <c r="C20" s="3">
        <v>6892.0</v>
      </c>
      <c r="D20" s="3">
        <v>1433.0</v>
      </c>
      <c r="E20" s="3">
        <v>1457.0</v>
      </c>
      <c r="F20" s="3">
        <v>874.0</v>
      </c>
      <c r="G20" s="3">
        <v>454.0</v>
      </c>
      <c r="H20" s="3">
        <v>280.0</v>
      </c>
      <c r="I20" s="3">
        <v>128.0</v>
      </c>
      <c r="J20" s="4">
        <f t="shared" si="1"/>
        <v>14</v>
      </c>
      <c r="K20" s="4" t="str">
        <f t="shared" si="2"/>
        <v>Alto</v>
      </c>
      <c r="L20" s="4">
        <f t="shared" si="3"/>
        <v>6.892</v>
      </c>
    </row>
    <row r="21">
      <c r="A21" s="1">
        <v>20.0</v>
      </c>
      <c r="B21" s="1" t="s">
        <v>31</v>
      </c>
      <c r="C21" s="3">
        <v>6852.0</v>
      </c>
      <c r="D21" s="3">
        <v>1269.0</v>
      </c>
      <c r="E21" s="3">
        <v>1487.0</v>
      </c>
      <c r="F21" s="3">
        <v>920.0</v>
      </c>
      <c r="G21" s="3">
        <v>457.0</v>
      </c>
      <c r="H21" s="3">
        <v>46.0</v>
      </c>
      <c r="I21" s="3">
        <v>36.0</v>
      </c>
      <c r="J21" s="4">
        <f t="shared" si="1"/>
        <v>20</v>
      </c>
      <c r="K21" s="4" t="str">
        <f t="shared" si="2"/>
        <v>Alto</v>
      </c>
      <c r="L21" s="4">
        <f t="shared" si="3"/>
        <v>6.852</v>
      </c>
    </row>
    <row r="22">
      <c r="A22" s="1">
        <v>21.0</v>
      </c>
      <c r="B22" s="1" t="s">
        <v>32</v>
      </c>
      <c r="C22" s="3">
        <v>6825.0</v>
      </c>
      <c r="D22" s="3">
        <v>1503.0</v>
      </c>
      <c r="E22" s="3">
        <v>1310.0</v>
      </c>
      <c r="F22" s="3">
        <v>825.0</v>
      </c>
      <c r="G22" s="3">
        <v>598.0</v>
      </c>
      <c r="H22" s="3">
        <v>262.0</v>
      </c>
      <c r="I22" s="3">
        <v>182.0</v>
      </c>
      <c r="J22" s="4">
        <f t="shared" si="1"/>
        <v>5</v>
      </c>
      <c r="K22" s="4" t="str">
        <f t="shared" si="2"/>
        <v>Alto</v>
      </c>
      <c r="L22" s="4">
        <f t="shared" si="3"/>
        <v>6.825</v>
      </c>
    </row>
    <row r="23">
      <c r="A23" s="1">
        <v>22.0</v>
      </c>
      <c r="B23" s="1" t="s">
        <v>33</v>
      </c>
      <c r="C23" s="3">
        <v>6726.0</v>
      </c>
      <c r="D23" s="3">
        <v>1300.0</v>
      </c>
      <c r="E23" s="3">
        <v>1520.0</v>
      </c>
      <c r="F23" s="3">
        <v>999.0</v>
      </c>
      <c r="G23" s="3">
        <v>564.0</v>
      </c>
      <c r="H23" s="3">
        <v>375.0</v>
      </c>
      <c r="I23" s="3">
        <v>151.0</v>
      </c>
      <c r="J23" s="4">
        <f t="shared" si="1"/>
        <v>6</v>
      </c>
      <c r="K23" s="4" t="str">
        <f t="shared" si="2"/>
        <v>Alto</v>
      </c>
      <c r="L23" s="4">
        <f t="shared" si="3"/>
        <v>6.726</v>
      </c>
    </row>
    <row r="24">
      <c r="A24" s="1">
        <v>23.0</v>
      </c>
      <c r="B24" s="1" t="s">
        <v>34</v>
      </c>
      <c r="C24" s="3">
        <v>6595.0</v>
      </c>
      <c r="D24" s="3">
        <v>1070.0</v>
      </c>
      <c r="E24" s="3">
        <v>1323.0</v>
      </c>
      <c r="F24" s="3">
        <v>861.0</v>
      </c>
      <c r="G24" s="3">
        <v>433.0</v>
      </c>
      <c r="H24" s="3">
        <v>74.0</v>
      </c>
      <c r="I24" s="3">
        <v>73.0</v>
      </c>
      <c r="J24" s="4">
        <f t="shared" si="1"/>
        <v>6</v>
      </c>
      <c r="K24" s="4" t="str">
        <f t="shared" si="2"/>
        <v>Alto</v>
      </c>
      <c r="L24" s="4">
        <f t="shared" si="3"/>
        <v>6.595</v>
      </c>
    </row>
    <row r="25">
      <c r="A25" s="1">
        <v>24.0</v>
      </c>
      <c r="B25" s="1" t="s">
        <v>35</v>
      </c>
      <c r="C25" s="3">
        <v>6592.0</v>
      </c>
      <c r="D25" s="3">
        <v>1324.0</v>
      </c>
      <c r="E25" s="3">
        <v>1472.0</v>
      </c>
      <c r="F25" s="3">
        <v>1045.0</v>
      </c>
      <c r="G25" s="3">
        <v>436.0</v>
      </c>
      <c r="H25" s="3">
        <v>111.0</v>
      </c>
      <c r="I25" s="3">
        <v>183.0</v>
      </c>
      <c r="J25" s="4">
        <f t="shared" si="1"/>
        <v>6</v>
      </c>
      <c r="K25" s="4" t="str">
        <f t="shared" si="2"/>
        <v>Alto</v>
      </c>
      <c r="L25" s="4">
        <f t="shared" si="3"/>
        <v>6.592</v>
      </c>
    </row>
    <row r="26">
      <c r="A26" s="1">
        <v>25.0</v>
      </c>
      <c r="B26" s="1" t="s">
        <v>36</v>
      </c>
      <c r="C26" s="3">
        <v>6446.0</v>
      </c>
      <c r="D26" s="3">
        <v>1368.0</v>
      </c>
      <c r="E26" s="3">
        <v>1430.0</v>
      </c>
      <c r="F26" s="3">
        <v>914.0</v>
      </c>
      <c r="G26" s="3">
        <v>351.0</v>
      </c>
      <c r="H26" s="3">
        <v>242.0</v>
      </c>
      <c r="I26" s="3">
        <v>97.0</v>
      </c>
      <c r="J26" s="4">
        <f t="shared" si="1"/>
        <v>5</v>
      </c>
      <c r="K26" s="4" t="str">
        <f t="shared" si="2"/>
        <v>Alto</v>
      </c>
      <c r="L26" s="4">
        <f t="shared" si="3"/>
        <v>6.446</v>
      </c>
    </row>
    <row r="27">
      <c r="A27" s="1">
        <v>26.0</v>
      </c>
      <c r="B27" s="1" t="s">
        <v>37</v>
      </c>
      <c r="C27" s="3">
        <v>6444.0</v>
      </c>
      <c r="D27" s="3">
        <v>1159.0</v>
      </c>
      <c r="E27" s="3">
        <v>1369.0</v>
      </c>
      <c r="F27" s="3">
        <v>920.0</v>
      </c>
      <c r="G27" s="3">
        <v>357.0</v>
      </c>
      <c r="H27" s="3">
        <v>187.0</v>
      </c>
      <c r="I27" s="3">
        <v>56.0</v>
      </c>
      <c r="J27" s="4">
        <f t="shared" si="1"/>
        <v>9</v>
      </c>
      <c r="K27" s="4" t="str">
        <f t="shared" si="2"/>
        <v>Alto</v>
      </c>
      <c r="L27" s="4">
        <f t="shared" si="3"/>
        <v>6.444</v>
      </c>
    </row>
    <row r="28">
      <c r="A28" s="1">
        <v>27.0</v>
      </c>
      <c r="B28" s="1" t="s">
        <v>38</v>
      </c>
      <c r="C28" s="3">
        <v>6436.0</v>
      </c>
      <c r="D28" s="3">
        <v>800.0</v>
      </c>
      <c r="E28" s="3">
        <v>1269.0</v>
      </c>
      <c r="F28" s="3">
        <v>746.0</v>
      </c>
      <c r="G28" s="3">
        <v>535.0</v>
      </c>
      <c r="H28" s="3">
        <v>175.0</v>
      </c>
      <c r="I28" s="3">
        <v>78.0</v>
      </c>
      <c r="J28" s="4">
        <f t="shared" si="1"/>
        <v>12</v>
      </c>
      <c r="K28" s="4" t="str">
        <f t="shared" si="2"/>
        <v>Alto</v>
      </c>
      <c r="L28" s="4">
        <f t="shared" si="3"/>
        <v>6.436</v>
      </c>
    </row>
    <row r="29">
      <c r="A29" s="1">
        <v>28.0</v>
      </c>
      <c r="B29" s="1" t="s">
        <v>39</v>
      </c>
      <c r="C29" s="3">
        <v>6375.0</v>
      </c>
      <c r="D29" s="3">
        <v>1403.0</v>
      </c>
      <c r="E29" s="3">
        <v>1357.0</v>
      </c>
      <c r="F29" s="3">
        <v>795.0</v>
      </c>
      <c r="G29" s="3">
        <v>439.0</v>
      </c>
      <c r="H29" s="3">
        <v>80.0</v>
      </c>
      <c r="I29" s="3">
        <v>132.0</v>
      </c>
      <c r="J29" s="4">
        <f t="shared" si="1"/>
        <v>5</v>
      </c>
      <c r="K29" s="4" t="str">
        <f t="shared" si="2"/>
        <v>Alto</v>
      </c>
      <c r="L29" s="4">
        <f t="shared" si="3"/>
        <v>6.375</v>
      </c>
    </row>
    <row r="30">
      <c r="A30" s="1">
        <v>29.0</v>
      </c>
      <c r="B30" s="1" t="s">
        <v>40</v>
      </c>
      <c r="C30" s="3">
        <v>6374.0</v>
      </c>
      <c r="D30" s="3">
        <v>1684.0</v>
      </c>
      <c r="E30" s="3">
        <v>1313.0</v>
      </c>
      <c r="F30" s="3">
        <v>871.0</v>
      </c>
      <c r="G30" s="3">
        <v>555.0</v>
      </c>
      <c r="H30" s="3">
        <v>220.0</v>
      </c>
      <c r="I30" s="3">
        <v>167.0</v>
      </c>
      <c r="J30" s="4">
        <f t="shared" si="1"/>
        <v>5</v>
      </c>
      <c r="K30" s="4" t="str">
        <f t="shared" si="2"/>
        <v>Alto</v>
      </c>
      <c r="L30" s="4">
        <f t="shared" si="3"/>
        <v>6.374</v>
      </c>
    </row>
    <row r="31">
      <c r="A31" s="1">
        <v>30.0</v>
      </c>
      <c r="B31" s="1" t="s">
        <v>41</v>
      </c>
      <c r="C31" s="3">
        <v>6354.0</v>
      </c>
      <c r="D31" s="3">
        <v>1286.0</v>
      </c>
      <c r="E31" s="3">
        <v>1484.0</v>
      </c>
      <c r="F31" s="3">
        <v>1062.0</v>
      </c>
      <c r="G31" s="3">
        <v>362.0</v>
      </c>
      <c r="H31" s="3">
        <v>153.0</v>
      </c>
      <c r="I31" s="3">
        <v>79.0</v>
      </c>
      <c r="J31" s="4">
        <f t="shared" si="1"/>
        <v>6</v>
      </c>
      <c r="K31" s="4" t="str">
        <f t="shared" si="2"/>
        <v>Alto</v>
      </c>
      <c r="L31" s="4">
        <f t="shared" si="3"/>
        <v>6.354</v>
      </c>
    </row>
    <row r="32">
      <c r="A32" s="1">
        <v>31.0</v>
      </c>
      <c r="B32" s="1" t="s">
        <v>42</v>
      </c>
      <c r="C32" s="3">
        <v>6321.0</v>
      </c>
      <c r="D32" s="3">
        <v>1149.0</v>
      </c>
      <c r="E32" s="3">
        <v>1442.0</v>
      </c>
      <c r="F32" s="3">
        <v>910.0</v>
      </c>
      <c r="G32" s="3">
        <v>516.0</v>
      </c>
      <c r="H32" s="3">
        <v>109.0</v>
      </c>
      <c r="I32" s="3">
        <v>54.0</v>
      </c>
      <c r="J32" s="4">
        <f t="shared" si="1"/>
        <v>6</v>
      </c>
      <c r="K32" s="4" t="str">
        <f t="shared" si="2"/>
        <v>Alto</v>
      </c>
      <c r="L32" s="4">
        <f t="shared" si="3"/>
        <v>6.321</v>
      </c>
    </row>
    <row r="33">
      <c r="A33" s="1">
        <v>32.0</v>
      </c>
      <c r="B33" s="1" t="s">
        <v>43</v>
      </c>
      <c r="C33" s="3">
        <v>6300.0</v>
      </c>
      <c r="D33" s="3">
        <v>1004.0</v>
      </c>
      <c r="E33" s="3">
        <v>1439.0</v>
      </c>
      <c r="F33" s="3">
        <v>802.0</v>
      </c>
      <c r="G33" s="3">
        <v>390.0</v>
      </c>
      <c r="H33" s="3">
        <v>99.0</v>
      </c>
      <c r="I33" s="3">
        <v>86.0</v>
      </c>
      <c r="J33" s="4">
        <f t="shared" si="1"/>
        <v>7</v>
      </c>
      <c r="K33" s="4" t="str">
        <f t="shared" si="2"/>
        <v>Alto</v>
      </c>
      <c r="L33" s="4">
        <f t="shared" si="3"/>
        <v>6.3</v>
      </c>
    </row>
    <row r="34">
      <c r="A34" s="1">
        <v>33.0</v>
      </c>
      <c r="B34" s="1" t="s">
        <v>44</v>
      </c>
      <c r="C34" s="3">
        <v>6293.0</v>
      </c>
      <c r="D34" s="3">
        <v>1124.0</v>
      </c>
      <c r="E34" s="3">
        <v>1465.0</v>
      </c>
      <c r="F34" s="3">
        <v>891.0</v>
      </c>
      <c r="G34" s="3">
        <v>523.0</v>
      </c>
      <c r="H34" s="3">
        <v>127.0</v>
      </c>
      <c r="I34" s="3">
        <v>150.0</v>
      </c>
      <c r="J34" s="4">
        <f t="shared" si="1"/>
        <v>9</v>
      </c>
      <c r="K34" s="4" t="str">
        <f t="shared" si="2"/>
        <v>Alto</v>
      </c>
      <c r="L34" s="4">
        <f t="shared" si="3"/>
        <v>6.293</v>
      </c>
    </row>
    <row r="35">
      <c r="A35" s="1">
        <v>34.0</v>
      </c>
      <c r="B35" s="1" t="s">
        <v>45</v>
      </c>
      <c r="C35" s="3">
        <v>6262.0</v>
      </c>
      <c r="D35" s="3">
        <v>1572.0</v>
      </c>
      <c r="E35" s="3">
        <v>1463.0</v>
      </c>
      <c r="F35" s="3">
        <v>1141.0</v>
      </c>
      <c r="G35" s="3">
        <v>556.0</v>
      </c>
      <c r="H35" s="3">
        <v>271.0</v>
      </c>
      <c r="I35" s="3">
        <v>453.0</v>
      </c>
      <c r="J35" s="4">
        <f t="shared" si="1"/>
        <v>11</v>
      </c>
      <c r="K35" s="4" t="str">
        <f t="shared" si="2"/>
        <v>Alto</v>
      </c>
      <c r="L35" s="4">
        <f t="shared" si="3"/>
        <v>6.262</v>
      </c>
    </row>
    <row r="36">
      <c r="A36" s="1">
        <v>35.0</v>
      </c>
      <c r="B36" s="1" t="s">
        <v>46</v>
      </c>
      <c r="C36" s="3">
        <v>6253.0</v>
      </c>
      <c r="D36" s="3">
        <v>794.0</v>
      </c>
      <c r="E36" s="3">
        <v>1242.0</v>
      </c>
      <c r="F36" s="3">
        <v>789.0</v>
      </c>
      <c r="G36" s="3">
        <v>430.0</v>
      </c>
      <c r="H36" s="3">
        <v>93.0</v>
      </c>
      <c r="I36" s="3">
        <v>74.0</v>
      </c>
      <c r="J36" s="4">
        <f t="shared" si="1"/>
        <v>5</v>
      </c>
      <c r="K36" s="4" t="str">
        <f t="shared" si="2"/>
        <v>Alto</v>
      </c>
      <c r="L36" s="4">
        <f t="shared" si="3"/>
        <v>6.253</v>
      </c>
    </row>
    <row r="37">
      <c r="A37" s="1">
        <v>36.0</v>
      </c>
      <c r="B37" s="1" t="s">
        <v>47</v>
      </c>
      <c r="C37" s="3">
        <v>6223.0</v>
      </c>
      <c r="D37" s="3">
        <v>1294.0</v>
      </c>
      <c r="E37" s="3">
        <v>1488.0</v>
      </c>
      <c r="F37" s="3">
        <v>1039.0</v>
      </c>
      <c r="G37" s="3">
        <v>231.0</v>
      </c>
      <c r="H37" s="3">
        <v>158.0</v>
      </c>
      <c r="I37" s="3">
        <v>30.0</v>
      </c>
      <c r="J37" s="4">
        <f t="shared" si="1"/>
        <v>7</v>
      </c>
      <c r="K37" s="4" t="str">
        <f t="shared" si="2"/>
        <v>Alto</v>
      </c>
      <c r="L37" s="4">
        <f t="shared" si="3"/>
        <v>6.223</v>
      </c>
    </row>
    <row r="38">
      <c r="A38" s="1">
        <v>37.0</v>
      </c>
      <c r="B38" s="1" t="s">
        <v>48</v>
      </c>
      <c r="C38" s="3">
        <v>6199.0</v>
      </c>
      <c r="D38" s="3">
        <v>1362.0</v>
      </c>
      <c r="E38" s="3">
        <v>1368.0</v>
      </c>
      <c r="F38" s="3">
        <v>871.0</v>
      </c>
      <c r="G38" s="3">
        <v>536.0</v>
      </c>
      <c r="H38" s="3">
        <v>255.0</v>
      </c>
      <c r="I38" s="3">
        <v>110.0</v>
      </c>
      <c r="J38" s="4">
        <f t="shared" si="1"/>
        <v>8</v>
      </c>
      <c r="K38" s="4" t="str">
        <f t="shared" si="2"/>
        <v>Alto</v>
      </c>
      <c r="L38" s="4">
        <f t="shared" si="3"/>
        <v>6.199</v>
      </c>
    </row>
    <row r="39">
      <c r="A39" s="1">
        <v>38.0</v>
      </c>
      <c r="B39" s="1" t="s">
        <v>49</v>
      </c>
      <c r="C39" s="3">
        <v>6198.0</v>
      </c>
      <c r="D39" s="3">
        <v>1246.0</v>
      </c>
      <c r="E39" s="3">
        <v>1504.0</v>
      </c>
      <c r="F39" s="3">
        <v>881.0</v>
      </c>
      <c r="G39" s="3">
        <v>334.0</v>
      </c>
      <c r="H39" s="3">
        <v>121.0</v>
      </c>
      <c r="I39" s="3">
        <v>14.0</v>
      </c>
      <c r="J39" s="4">
        <f t="shared" si="1"/>
        <v>17</v>
      </c>
      <c r="K39" s="4" t="str">
        <f t="shared" si="2"/>
        <v>Alto</v>
      </c>
      <c r="L39" s="4">
        <f t="shared" si="3"/>
        <v>6.198</v>
      </c>
    </row>
    <row r="40">
      <c r="A40" s="1">
        <v>39.0</v>
      </c>
      <c r="B40" s="1" t="s">
        <v>50</v>
      </c>
      <c r="C40" s="3">
        <v>6192.0</v>
      </c>
      <c r="D40" s="3">
        <v>1231.0</v>
      </c>
      <c r="E40" s="3">
        <v>1477.0</v>
      </c>
      <c r="F40" s="3">
        <v>713.0</v>
      </c>
      <c r="G40" s="3">
        <v>489.0</v>
      </c>
      <c r="H40" s="3">
        <v>185.0</v>
      </c>
      <c r="I40" s="3">
        <v>16.0</v>
      </c>
      <c r="J40" s="4">
        <f t="shared" si="1"/>
        <v>6</v>
      </c>
      <c r="K40" s="4" t="str">
        <f t="shared" si="2"/>
        <v>Alto</v>
      </c>
      <c r="L40" s="4">
        <f t="shared" si="3"/>
        <v>6.192</v>
      </c>
    </row>
    <row r="41">
      <c r="A41" s="1">
        <v>40.0</v>
      </c>
      <c r="B41" s="1" t="s">
        <v>51</v>
      </c>
      <c r="C41" s="3">
        <v>6182.0</v>
      </c>
      <c r="D41" s="3">
        <v>1206.0</v>
      </c>
      <c r="E41" s="3">
        <v>1438.0</v>
      </c>
      <c r="F41" s="3">
        <v>884.0</v>
      </c>
      <c r="G41" s="3">
        <v>483.0</v>
      </c>
      <c r="H41" s="3">
        <v>117.0</v>
      </c>
      <c r="I41" s="3">
        <v>50.0</v>
      </c>
      <c r="J41" s="4">
        <f t="shared" si="1"/>
        <v>10</v>
      </c>
      <c r="K41" s="4" t="str">
        <f t="shared" si="2"/>
        <v>Alto</v>
      </c>
      <c r="L41" s="4">
        <f t="shared" si="3"/>
        <v>6.182</v>
      </c>
    </row>
    <row r="42">
      <c r="A42" s="1">
        <v>41.0</v>
      </c>
      <c r="B42" s="1" t="s">
        <v>52</v>
      </c>
      <c r="C42" s="3">
        <v>6174.0</v>
      </c>
      <c r="D42" s="3">
        <v>745.0</v>
      </c>
      <c r="E42" s="3">
        <v>1529.0</v>
      </c>
      <c r="F42" s="3">
        <v>756.0</v>
      </c>
      <c r="G42" s="3">
        <v>631.0</v>
      </c>
      <c r="H42" s="3">
        <v>322.0</v>
      </c>
      <c r="I42" s="3">
        <v>240.0</v>
      </c>
      <c r="J42" s="4">
        <f t="shared" si="1"/>
        <v>9</v>
      </c>
      <c r="K42" s="4" t="str">
        <f t="shared" si="2"/>
        <v>Alto</v>
      </c>
      <c r="L42" s="4">
        <f t="shared" si="3"/>
        <v>6.174</v>
      </c>
    </row>
    <row r="43">
      <c r="A43" s="1">
        <v>42.0</v>
      </c>
      <c r="B43" s="1" t="s">
        <v>53</v>
      </c>
      <c r="C43" s="3">
        <v>6149.0</v>
      </c>
      <c r="D43" s="3">
        <v>1238.0</v>
      </c>
      <c r="E43" s="3">
        <v>1515.0</v>
      </c>
      <c r="F43" s="3">
        <v>818.0</v>
      </c>
      <c r="G43" s="3">
        <v>291.0</v>
      </c>
      <c r="H43" s="3">
        <v>43.0</v>
      </c>
      <c r="I43" s="3">
        <v>42.0</v>
      </c>
      <c r="J43" s="4">
        <f t="shared" si="1"/>
        <v>8</v>
      </c>
      <c r="K43" s="4" t="str">
        <f t="shared" si="2"/>
        <v>Alto</v>
      </c>
      <c r="L43" s="4">
        <f t="shared" si="3"/>
        <v>6.149</v>
      </c>
    </row>
    <row r="44">
      <c r="A44" s="1">
        <v>43.0</v>
      </c>
      <c r="B44" s="1" t="s">
        <v>54</v>
      </c>
      <c r="C44" s="3">
        <v>6125.0</v>
      </c>
      <c r="D44" s="3">
        <v>985.0</v>
      </c>
      <c r="E44" s="3">
        <v>1410.0</v>
      </c>
      <c r="F44" s="3">
        <v>841.0</v>
      </c>
      <c r="G44" s="3">
        <v>470.0</v>
      </c>
      <c r="H44" s="3">
        <v>99.0</v>
      </c>
      <c r="I44" s="3">
        <v>34.0</v>
      </c>
      <c r="J44" s="4">
        <f t="shared" si="1"/>
        <v>8</v>
      </c>
      <c r="K44" s="4" t="str">
        <f t="shared" si="2"/>
        <v>Alto</v>
      </c>
      <c r="L44" s="4">
        <f t="shared" si="3"/>
        <v>6.125</v>
      </c>
    </row>
    <row r="45">
      <c r="A45" s="1">
        <v>44.0</v>
      </c>
      <c r="B45" s="1" t="s">
        <v>55</v>
      </c>
      <c r="C45" s="3">
        <v>6118.0</v>
      </c>
      <c r="D45" s="3">
        <v>1258.0</v>
      </c>
      <c r="E45" s="3">
        <v>1523.0</v>
      </c>
      <c r="F45" s="3">
        <v>953.0</v>
      </c>
      <c r="G45" s="3">
        <v>564.0</v>
      </c>
      <c r="H45" s="3">
        <v>144.0</v>
      </c>
      <c r="I45" s="3">
        <v>57.0</v>
      </c>
      <c r="J45" s="4">
        <f t="shared" si="1"/>
        <v>9</v>
      </c>
      <c r="K45" s="4" t="str">
        <f t="shared" si="2"/>
        <v>Alto</v>
      </c>
      <c r="L45" s="4">
        <f t="shared" si="3"/>
        <v>6.118</v>
      </c>
    </row>
    <row r="46">
      <c r="A46" s="1">
        <v>45.0</v>
      </c>
      <c r="B46" s="1" t="s">
        <v>56</v>
      </c>
      <c r="C46" s="3">
        <v>6105.0</v>
      </c>
      <c r="D46" s="3">
        <v>694.0</v>
      </c>
      <c r="E46" s="3">
        <v>1325.0</v>
      </c>
      <c r="F46" s="3">
        <v>835.0</v>
      </c>
      <c r="G46" s="3">
        <v>435.0</v>
      </c>
      <c r="H46" s="3">
        <v>200.0</v>
      </c>
      <c r="I46" s="3">
        <v>127.0</v>
      </c>
      <c r="J46" s="4">
        <f t="shared" si="1"/>
        <v>6</v>
      </c>
      <c r="K46" s="4" t="str">
        <f t="shared" si="2"/>
        <v>Alto</v>
      </c>
      <c r="L46" s="4">
        <f t="shared" si="3"/>
        <v>6.105</v>
      </c>
    </row>
    <row r="47">
      <c r="A47" s="1">
        <v>46.0</v>
      </c>
      <c r="B47" s="1" t="s">
        <v>57</v>
      </c>
      <c r="C47" s="3">
        <v>6100.0</v>
      </c>
      <c r="D47" s="3">
        <v>882.0</v>
      </c>
      <c r="E47" s="3">
        <v>1232.0</v>
      </c>
      <c r="F47" s="3">
        <v>758.0</v>
      </c>
      <c r="G47" s="3">
        <v>489.0</v>
      </c>
      <c r="H47" s="3">
        <v>262.0</v>
      </c>
      <c r="I47" s="3">
        <v>6.0</v>
      </c>
      <c r="J47" s="4">
        <f t="shared" si="1"/>
        <v>9</v>
      </c>
      <c r="K47" s="4" t="str">
        <f t="shared" si="2"/>
        <v>Alto</v>
      </c>
      <c r="L47" s="4">
        <f t="shared" si="3"/>
        <v>6.1</v>
      </c>
    </row>
    <row r="48">
      <c r="A48" s="1">
        <v>47.0</v>
      </c>
      <c r="B48" s="1" t="s">
        <v>58</v>
      </c>
      <c r="C48" s="3">
        <v>6086.0</v>
      </c>
      <c r="D48" s="3">
        <v>1092.0</v>
      </c>
      <c r="E48" s="3">
        <v>1432.0</v>
      </c>
      <c r="F48" s="3">
        <v>881.0</v>
      </c>
      <c r="G48" s="3">
        <v>471.0</v>
      </c>
      <c r="H48" s="3">
        <v>66.0</v>
      </c>
      <c r="I48" s="3">
        <v>50.0</v>
      </c>
      <c r="J48" s="4">
        <f t="shared" si="1"/>
        <v>7</v>
      </c>
      <c r="K48" s="4" t="str">
        <f t="shared" si="2"/>
        <v>Alto</v>
      </c>
      <c r="L48" s="4">
        <f t="shared" si="3"/>
        <v>6.086</v>
      </c>
    </row>
    <row r="49">
      <c r="A49" s="1">
        <v>48.0</v>
      </c>
      <c r="B49" s="1" t="s">
        <v>59</v>
      </c>
      <c r="C49" s="3">
        <v>6070.0</v>
      </c>
      <c r="D49" s="3">
        <v>1162.0</v>
      </c>
      <c r="E49" s="3">
        <v>1232.0</v>
      </c>
      <c r="F49" s="3">
        <v>825.0</v>
      </c>
      <c r="G49" s="3">
        <v>462.0</v>
      </c>
      <c r="H49" s="3">
        <v>83.0</v>
      </c>
      <c r="I49" s="3">
        <v>5.0</v>
      </c>
      <c r="J49" s="4">
        <f t="shared" si="1"/>
        <v>6</v>
      </c>
      <c r="K49" s="4" t="str">
        <f t="shared" si="2"/>
        <v>Alto</v>
      </c>
      <c r="L49" s="4">
        <f t="shared" si="3"/>
        <v>6.07</v>
      </c>
    </row>
    <row r="50">
      <c r="A50" s="1">
        <v>49.0</v>
      </c>
      <c r="B50" s="1" t="s">
        <v>60</v>
      </c>
      <c r="C50" s="3">
        <v>6046.0</v>
      </c>
      <c r="D50" s="3">
        <v>1263.0</v>
      </c>
      <c r="E50" s="3">
        <v>1223.0</v>
      </c>
      <c r="F50" s="3">
        <v>1042.0</v>
      </c>
      <c r="G50" s="3">
        <v>406.0</v>
      </c>
      <c r="H50" s="3">
        <v>190.0</v>
      </c>
      <c r="I50" s="3">
        <v>41.0</v>
      </c>
      <c r="J50" s="4">
        <f t="shared" si="1"/>
        <v>7</v>
      </c>
      <c r="K50" s="4" t="str">
        <f t="shared" si="2"/>
        <v>Alto</v>
      </c>
      <c r="L50" s="4">
        <f t="shared" si="3"/>
        <v>6.046</v>
      </c>
    </row>
    <row r="51">
      <c r="A51" s="1">
        <v>50.0</v>
      </c>
      <c r="B51" s="1" t="s">
        <v>61</v>
      </c>
      <c r="C51" s="3">
        <v>6028.0</v>
      </c>
      <c r="D51" s="3">
        <v>912.0</v>
      </c>
      <c r="E51" s="3">
        <v>1312.0</v>
      </c>
      <c r="F51" s="3">
        <v>868.0</v>
      </c>
      <c r="G51" s="3">
        <v>498.0</v>
      </c>
      <c r="H51" s="3">
        <v>126.0</v>
      </c>
      <c r="I51" s="3">
        <v>87.0</v>
      </c>
      <c r="J51" s="4">
        <f t="shared" si="1"/>
        <v>6</v>
      </c>
      <c r="K51" s="4" t="str">
        <f t="shared" si="2"/>
        <v>Alto</v>
      </c>
      <c r="L51" s="4">
        <f t="shared" si="3"/>
        <v>6.028</v>
      </c>
    </row>
    <row r="52">
      <c r="A52" s="1">
        <v>51.0</v>
      </c>
      <c r="B52" s="1" t="s">
        <v>62</v>
      </c>
      <c r="C52" s="3">
        <v>6021.0</v>
      </c>
      <c r="D52" s="3">
        <v>1500.0</v>
      </c>
      <c r="E52" s="3">
        <v>1319.0</v>
      </c>
      <c r="F52" s="3">
        <v>808.0</v>
      </c>
      <c r="G52" s="3">
        <v>493.0</v>
      </c>
      <c r="H52" s="3">
        <v>142.0</v>
      </c>
      <c r="I52" s="3">
        <v>97.0</v>
      </c>
      <c r="J52" s="4">
        <f t="shared" si="1"/>
        <v>8</v>
      </c>
      <c r="K52" s="4" t="str">
        <f t="shared" si="2"/>
        <v>Alto</v>
      </c>
      <c r="L52" s="4">
        <f t="shared" si="3"/>
        <v>6.021</v>
      </c>
    </row>
    <row r="53">
      <c r="A53" s="1">
        <v>52.0</v>
      </c>
      <c r="B53" s="1" t="s">
        <v>63</v>
      </c>
      <c r="C53" s="3">
        <v>6008.0</v>
      </c>
      <c r="D53" s="3">
        <v>1050.0</v>
      </c>
      <c r="E53" s="3">
        <v>1409.0</v>
      </c>
      <c r="F53" s="3">
        <v>828.0</v>
      </c>
      <c r="G53" s="3">
        <v>557.0</v>
      </c>
      <c r="H53" s="3">
        <v>359.0</v>
      </c>
      <c r="I53" s="3">
        <v>28.0</v>
      </c>
      <c r="J53" s="4">
        <f t="shared" si="1"/>
        <v>6</v>
      </c>
      <c r="K53" s="4" t="str">
        <f t="shared" si="2"/>
        <v>Alto</v>
      </c>
      <c r="L53" s="4">
        <f t="shared" si="3"/>
        <v>6.008</v>
      </c>
    </row>
    <row r="54">
      <c r="A54" s="1">
        <v>53.0</v>
      </c>
      <c r="B54" s="1" t="s">
        <v>64</v>
      </c>
      <c r="C54" s="3">
        <v>5940.0</v>
      </c>
      <c r="D54" s="3">
        <v>1187.0</v>
      </c>
      <c r="E54" s="3">
        <v>1465.0</v>
      </c>
      <c r="F54" s="3">
        <v>812.0</v>
      </c>
      <c r="G54" s="3">
        <v>264.0</v>
      </c>
      <c r="H54" s="3">
        <v>75.0</v>
      </c>
      <c r="I54" s="3">
        <v>64.0</v>
      </c>
      <c r="J54" s="4">
        <f t="shared" si="1"/>
        <v>11</v>
      </c>
      <c r="K54" s="4" t="str">
        <f t="shared" si="2"/>
        <v>Medio</v>
      </c>
      <c r="L54" s="4">
        <f t="shared" si="3"/>
        <v>5.94</v>
      </c>
    </row>
    <row r="55">
      <c r="A55" s="1">
        <v>54.0</v>
      </c>
      <c r="B55" s="1" t="s">
        <v>65</v>
      </c>
      <c r="C55" s="3">
        <v>5895.0</v>
      </c>
      <c r="D55" s="3">
        <v>1301.0</v>
      </c>
      <c r="E55" s="3">
        <v>1219.0</v>
      </c>
      <c r="F55" s="3">
        <v>1036.0</v>
      </c>
      <c r="G55" s="3">
        <v>159.0</v>
      </c>
      <c r="H55" s="3">
        <v>175.0</v>
      </c>
      <c r="I55" s="3">
        <v>56.0</v>
      </c>
      <c r="J55" s="4">
        <f t="shared" si="1"/>
        <v>7</v>
      </c>
      <c r="K55" s="4" t="str">
        <f t="shared" si="2"/>
        <v>Medio</v>
      </c>
      <c r="L55" s="4">
        <f t="shared" si="3"/>
        <v>5.895</v>
      </c>
    </row>
    <row r="56">
      <c r="A56" s="1">
        <v>55.0</v>
      </c>
      <c r="B56" s="1" t="s">
        <v>66</v>
      </c>
      <c r="C56" s="3">
        <v>5893.0</v>
      </c>
      <c r="D56" s="3">
        <v>1237.0</v>
      </c>
      <c r="E56" s="3">
        <v>1528.0</v>
      </c>
      <c r="F56" s="3">
        <v>874.0</v>
      </c>
      <c r="G56" s="3">
        <v>495.0</v>
      </c>
      <c r="H56" s="3">
        <v>103.0</v>
      </c>
      <c r="I56" s="3">
        <v>161.0</v>
      </c>
      <c r="J56" s="4">
        <f t="shared" si="1"/>
        <v>7</v>
      </c>
      <c r="K56" s="4" t="str">
        <f t="shared" si="2"/>
        <v>Medio</v>
      </c>
      <c r="L56" s="4">
        <f t="shared" si="3"/>
        <v>5.893</v>
      </c>
    </row>
    <row r="57">
      <c r="A57" s="1">
        <v>56.0</v>
      </c>
      <c r="B57" s="1" t="s">
        <v>67</v>
      </c>
      <c r="C57" s="3">
        <v>5890.0</v>
      </c>
      <c r="D57" s="3">
        <v>831.0</v>
      </c>
      <c r="E57" s="3">
        <v>1478.0</v>
      </c>
      <c r="F57" s="3">
        <v>831.0</v>
      </c>
      <c r="G57" s="3">
        <v>490.0</v>
      </c>
      <c r="H57" s="3">
        <v>107.0</v>
      </c>
      <c r="I57" s="3">
        <v>28.0</v>
      </c>
      <c r="J57" s="4">
        <f t="shared" si="1"/>
        <v>9</v>
      </c>
      <c r="K57" s="4" t="str">
        <f t="shared" si="2"/>
        <v>Medio</v>
      </c>
      <c r="L57" s="4">
        <f t="shared" si="3"/>
        <v>5.89</v>
      </c>
    </row>
    <row r="58">
      <c r="A58" s="1">
        <v>57.0</v>
      </c>
      <c r="B58" s="1" t="s">
        <v>68</v>
      </c>
      <c r="C58" s="3">
        <v>5888.0</v>
      </c>
      <c r="D58" s="3">
        <v>1120.0</v>
      </c>
      <c r="E58" s="3">
        <v>1402.0</v>
      </c>
      <c r="F58" s="3">
        <v>798.0</v>
      </c>
      <c r="G58" s="3">
        <v>498.0</v>
      </c>
      <c r="H58" s="3">
        <v>215.0</v>
      </c>
      <c r="I58" s="3">
        <v>60.0</v>
      </c>
      <c r="J58" s="4">
        <f t="shared" si="1"/>
        <v>5</v>
      </c>
      <c r="K58" s="4" t="str">
        <f t="shared" si="2"/>
        <v>Medio</v>
      </c>
      <c r="L58" s="4">
        <f t="shared" si="3"/>
        <v>5.888</v>
      </c>
    </row>
    <row r="59">
      <c r="A59" s="1">
        <v>58.0</v>
      </c>
      <c r="B59" s="1" t="s">
        <v>69</v>
      </c>
      <c r="C59" s="3">
        <v>5886.0</v>
      </c>
      <c r="D59" s="3">
        <v>1327.0</v>
      </c>
      <c r="E59" s="3">
        <v>1419.0</v>
      </c>
      <c r="F59" s="3">
        <v>1088.0</v>
      </c>
      <c r="G59" s="3">
        <v>445.0</v>
      </c>
      <c r="H59" s="3">
        <v>69.0</v>
      </c>
      <c r="I59" s="3">
        <v>140.0</v>
      </c>
      <c r="J59" s="4">
        <f t="shared" si="1"/>
        <v>8</v>
      </c>
      <c r="K59" s="4" t="str">
        <f t="shared" si="2"/>
        <v>Medio</v>
      </c>
      <c r="L59" s="4">
        <f t="shared" si="3"/>
        <v>5.886</v>
      </c>
    </row>
    <row r="60">
      <c r="A60" s="1">
        <v>59.0</v>
      </c>
      <c r="B60" s="1" t="s">
        <v>70</v>
      </c>
      <c r="C60" s="3">
        <v>5860.0</v>
      </c>
      <c r="D60" s="3">
        <v>642.0</v>
      </c>
      <c r="E60" s="3">
        <v>1236.0</v>
      </c>
      <c r="F60" s="3">
        <v>828.0</v>
      </c>
      <c r="G60" s="3">
        <v>507.0</v>
      </c>
      <c r="H60" s="3">
        <v>246.0</v>
      </c>
      <c r="I60" s="3">
        <v>78.0</v>
      </c>
      <c r="J60" s="4">
        <f t="shared" si="1"/>
        <v>10</v>
      </c>
      <c r="K60" s="4" t="str">
        <f t="shared" si="2"/>
        <v>Medio</v>
      </c>
      <c r="L60" s="4">
        <f t="shared" si="3"/>
        <v>5.86</v>
      </c>
    </row>
    <row r="61">
      <c r="A61" s="1">
        <v>60.0</v>
      </c>
      <c r="B61" s="1" t="s">
        <v>71</v>
      </c>
      <c r="C61" s="3">
        <v>5809.0</v>
      </c>
      <c r="D61" s="3">
        <v>1173.0</v>
      </c>
      <c r="E61" s="3">
        <v>1508.0</v>
      </c>
      <c r="F61" s="3">
        <v>729.0</v>
      </c>
      <c r="G61" s="3">
        <v>410.0</v>
      </c>
      <c r="H61" s="3">
        <v>146.0</v>
      </c>
      <c r="I61" s="3">
        <v>96.0</v>
      </c>
      <c r="J61" s="4">
        <f t="shared" si="1"/>
        <v>7</v>
      </c>
      <c r="K61" s="4" t="str">
        <f t="shared" si="2"/>
        <v>Medio</v>
      </c>
      <c r="L61" s="4">
        <f t="shared" si="3"/>
        <v>5.809</v>
      </c>
    </row>
    <row r="62">
      <c r="A62" s="1">
        <v>61.0</v>
      </c>
      <c r="B62" s="1" t="s">
        <v>72</v>
      </c>
      <c r="C62" s="3">
        <v>5779.0</v>
      </c>
      <c r="D62" s="3">
        <v>776.0</v>
      </c>
      <c r="E62" s="3">
        <v>1209.0</v>
      </c>
      <c r="F62" s="3">
        <v>706.0</v>
      </c>
      <c r="G62" s="3">
        <v>511.0</v>
      </c>
      <c r="H62" s="3">
        <v>137.0</v>
      </c>
      <c r="I62" s="3">
        <v>64.0</v>
      </c>
      <c r="J62" s="4">
        <f t="shared" si="1"/>
        <v>7</v>
      </c>
      <c r="K62" s="4" t="str">
        <f t="shared" si="2"/>
        <v>Medio</v>
      </c>
      <c r="L62" s="4">
        <f t="shared" si="3"/>
        <v>5.779</v>
      </c>
    </row>
    <row r="63">
      <c r="A63" s="1">
        <v>62.0</v>
      </c>
      <c r="B63" s="1" t="s">
        <v>73</v>
      </c>
      <c r="C63" s="3">
        <v>5758.0</v>
      </c>
      <c r="D63" s="3">
        <v>1201.0</v>
      </c>
      <c r="E63" s="3">
        <v>1410.0</v>
      </c>
      <c r="F63" s="3">
        <v>828.0</v>
      </c>
      <c r="G63" s="3">
        <v>199.0</v>
      </c>
      <c r="H63" s="3">
        <v>81.0</v>
      </c>
      <c r="I63" s="3">
        <v>20.0</v>
      </c>
      <c r="J63" s="4">
        <f t="shared" si="1"/>
        <v>8</v>
      </c>
      <c r="K63" s="4" t="str">
        <f t="shared" si="2"/>
        <v>Medio</v>
      </c>
      <c r="L63" s="4">
        <f t="shared" si="3"/>
        <v>5.758</v>
      </c>
    </row>
    <row r="64">
      <c r="A64" s="1">
        <v>63.0</v>
      </c>
      <c r="B64" s="1" t="s">
        <v>74</v>
      </c>
      <c r="C64" s="3">
        <v>5743.0</v>
      </c>
      <c r="D64" s="3">
        <v>855.0</v>
      </c>
      <c r="E64" s="3">
        <v>1475.0</v>
      </c>
      <c r="F64" s="3">
        <v>777.0</v>
      </c>
      <c r="G64" s="3">
        <v>514.0</v>
      </c>
      <c r="H64" s="3">
        <v>184.0</v>
      </c>
      <c r="I64" s="3">
        <v>80.0</v>
      </c>
      <c r="J64" s="4">
        <f t="shared" si="1"/>
        <v>15</v>
      </c>
      <c r="K64" s="4" t="str">
        <f t="shared" si="2"/>
        <v>Medio</v>
      </c>
      <c r="L64" s="4">
        <f t="shared" si="3"/>
        <v>5.743</v>
      </c>
    </row>
    <row r="65">
      <c r="A65" s="1">
        <v>64.0</v>
      </c>
      <c r="B65" s="1" t="s">
        <v>75</v>
      </c>
      <c r="C65" s="3">
        <v>5718.0</v>
      </c>
      <c r="D65" s="3">
        <v>1263.0</v>
      </c>
      <c r="E65" s="3">
        <v>1252.0</v>
      </c>
      <c r="F65" s="3">
        <v>1042.0</v>
      </c>
      <c r="G65" s="3">
        <v>417.0</v>
      </c>
      <c r="H65" s="3">
        <v>191.0</v>
      </c>
      <c r="I65" s="3">
        <v>162.0</v>
      </c>
      <c r="J65" s="4">
        <f t="shared" si="1"/>
        <v>4</v>
      </c>
      <c r="K65" s="4" t="str">
        <f t="shared" si="2"/>
        <v>Medio</v>
      </c>
      <c r="L65" s="4">
        <f t="shared" si="3"/>
        <v>5.718</v>
      </c>
    </row>
    <row r="66">
      <c r="A66" s="1">
        <v>65.0</v>
      </c>
      <c r="B66" s="1" t="s">
        <v>76</v>
      </c>
      <c r="C66" s="3">
        <v>5697.0</v>
      </c>
      <c r="D66" s="3">
        <v>960.0</v>
      </c>
      <c r="E66" s="3">
        <v>1274.0</v>
      </c>
      <c r="F66" s="3">
        <v>854.0</v>
      </c>
      <c r="G66" s="3">
        <v>455.0</v>
      </c>
      <c r="H66" s="3">
        <v>83.0</v>
      </c>
      <c r="I66" s="3">
        <v>27.0</v>
      </c>
      <c r="J66" s="4">
        <f t="shared" si="1"/>
        <v>8</v>
      </c>
      <c r="K66" s="4" t="str">
        <f t="shared" si="2"/>
        <v>Medio</v>
      </c>
      <c r="L66" s="4">
        <f t="shared" si="3"/>
        <v>5.697</v>
      </c>
    </row>
    <row r="67">
      <c r="A67" s="1">
        <v>66.0</v>
      </c>
      <c r="B67" s="1" t="s">
        <v>77</v>
      </c>
      <c r="C67" s="3">
        <v>5693.0</v>
      </c>
      <c r="D67" s="3">
        <v>1221.0</v>
      </c>
      <c r="E67" s="3">
        <v>1431.0</v>
      </c>
      <c r="F67" s="3">
        <v>999.0</v>
      </c>
      <c r="G67" s="3">
        <v>508.0</v>
      </c>
      <c r="H67" s="3">
        <v>47.0</v>
      </c>
      <c r="I67" s="3">
        <v>25.0</v>
      </c>
      <c r="J67" s="4">
        <f t="shared" si="1"/>
        <v>8</v>
      </c>
      <c r="K67" s="4" t="str">
        <f t="shared" si="2"/>
        <v>Medio</v>
      </c>
      <c r="L67" s="4">
        <f t="shared" si="3"/>
        <v>5.693</v>
      </c>
    </row>
    <row r="68">
      <c r="A68" s="1">
        <v>67.0</v>
      </c>
      <c r="B68" s="1" t="s">
        <v>78</v>
      </c>
      <c r="C68" s="3">
        <v>5653.0</v>
      </c>
      <c r="D68" s="3">
        <v>677.0</v>
      </c>
      <c r="E68" s="3">
        <v>886.0</v>
      </c>
      <c r="F68" s="3">
        <v>535.0</v>
      </c>
      <c r="G68" s="3">
        <v>313.0</v>
      </c>
      <c r="H68" s="3">
        <v>220.0</v>
      </c>
      <c r="I68" s="3">
        <v>98.0</v>
      </c>
      <c r="J68" s="4">
        <f t="shared" si="1"/>
        <v>6</v>
      </c>
      <c r="K68" s="4" t="str">
        <f t="shared" si="2"/>
        <v>Medio</v>
      </c>
      <c r="L68" s="4">
        <f t="shared" si="3"/>
        <v>5.653</v>
      </c>
    </row>
    <row r="69">
      <c r="A69" s="1">
        <v>68.0</v>
      </c>
      <c r="B69" s="1" t="s">
        <v>79</v>
      </c>
      <c r="C69" s="3">
        <v>5648.0</v>
      </c>
      <c r="D69" s="3">
        <v>1183.0</v>
      </c>
      <c r="E69" s="3">
        <v>1452.0</v>
      </c>
      <c r="F69" s="3">
        <v>726.0</v>
      </c>
      <c r="G69" s="3">
        <v>334.0</v>
      </c>
      <c r="H69" s="3">
        <v>82.0</v>
      </c>
      <c r="I69" s="3">
        <v>31.0</v>
      </c>
      <c r="J69" s="4">
        <f t="shared" si="1"/>
        <v>11</v>
      </c>
      <c r="K69" s="4" t="str">
        <f t="shared" si="2"/>
        <v>Medio</v>
      </c>
      <c r="L69" s="4">
        <f t="shared" si="3"/>
        <v>5.648</v>
      </c>
    </row>
    <row r="70">
      <c r="A70" s="1">
        <v>69.0</v>
      </c>
      <c r="B70" s="1" t="s">
        <v>80</v>
      </c>
      <c r="C70" s="3">
        <v>5631.0</v>
      </c>
      <c r="D70" s="3">
        <v>807.0</v>
      </c>
      <c r="E70" s="3">
        <v>1293.0</v>
      </c>
      <c r="F70" s="3">
        <v>657.0</v>
      </c>
      <c r="G70" s="3">
        <v>558.0</v>
      </c>
      <c r="H70" s="3">
        <v>117.0</v>
      </c>
      <c r="I70" s="3">
        <v>107.0</v>
      </c>
      <c r="J70" s="4">
        <f t="shared" si="1"/>
        <v>6</v>
      </c>
      <c r="K70" s="4" t="str">
        <f t="shared" si="2"/>
        <v>Medio</v>
      </c>
      <c r="L70" s="4">
        <f t="shared" si="3"/>
        <v>5.631</v>
      </c>
    </row>
    <row r="71">
      <c r="A71" s="1">
        <v>70.0</v>
      </c>
      <c r="B71" s="1" t="s">
        <v>81</v>
      </c>
      <c r="C71" s="3">
        <v>5603.0</v>
      </c>
      <c r="D71" s="3">
        <v>1004.0</v>
      </c>
      <c r="E71" s="3">
        <v>1383.0</v>
      </c>
      <c r="F71" s="3">
        <v>854.0</v>
      </c>
      <c r="G71" s="3">
        <v>282.0</v>
      </c>
      <c r="H71" s="3">
        <v>137.0</v>
      </c>
      <c r="I71" s="3">
        <v>39.0</v>
      </c>
      <c r="J71" s="4">
        <f t="shared" si="1"/>
        <v>7</v>
      </c>
      <c r="K71" s="4" t="str">
        <f t="shared" si="2"/>
        <v>Medio</v>
      </c>
      <c r="L71" s="4">
        <f t="shared" si="3"/>
        <v>5.603</v>
      </c>
    </row>
    <row r="72">
      <c r="A72" s="1">
        <v>71.0</v>
      </c>
      <c r="B72" s="1" t="s">
        <v>82</v>
      </c>
      <c r="C72" s="3">
        <v>5529.0</v>
      </c>
      <c r="D72" s="3">
        <v>685.0</v>
      </c>
      <c r="E72" s="3">
        <v>1328.0</v>
      </c>
      <c r="F72" s="3">
        <v>739.0</v>
      </c>
      <c r="G72" s="3">
        <v>245.0</v>
      </c>
      <c r="H72" s="3">
        <v>181.0</v>
      </c>
      <c r="I72" s="3">
        <v>0.0</v>
      </c>
      <c r="J72" s="4">
        <f t="shared" si="1"/>
        <v>5</v>
      </c>
      <c r="K72" s="4" t="str">
        <f t="shared" si="2"/>
        <v>Medio</v>
      </c>
      <c r="L72" s="4">
        <f t="shared" si="3"/>
        <v>5.529</v>
      </c>
    </row>
    <row r="73">
      <c r="A73" s="1">
        <v>72.0</v>
      </c>
      <c r="B73" s="1" t="s">
        <v>83</v>
      </c>
      <c r="C73" s="3">
        <v>5525.0</v>
      </c>
      <c r="D73" s="3">
        <v>1044.0</v>
      </c>
      <c r="E73" s="3">
        <v>1303.0</v>
      </c>
      <c r="F73" s="3">
        <v>673.0</v>
      </c>
      <c r="G73" s="3">
        <v>416.0</v>
      </c>
      <c r="H73" s="3">
        <v>133.0</v>
      </c>
      <c r="I73" s="3">
        <v>152.0</v>
      </c>
      <c r="J73" s="4">
        <f t="shared" si="1"/>
        <v>10</v>
      </c>
      <c r="K73" s="4" t="str">
        <f t="shared" si="2"/>
        <v>Medio</v>
      </c>
      <c r="L73" s="4">
        <f t="shared" si="3"/>
        <v>5.525</v>
      </c>
    </row>
    <row r="74">
      <c r="A74" s="1">
        <v>73.0</v>
      </c>
      <c r="B74" s="1" t="s">
        <v>84</v>
      </c>
      <c r="C74" s="3">
        <v>5523.0</v>
      </c>
      <c r="D74" s="3">
        <v>1051.0</v>
      </c>
      <c r="E74" s="3">
        <v>1361.0</v>
      </c>
      <c r="F74" s="3">
        <v>871.0</v>
      </c>
      <c r="G74" s="3">
        <v>197.0</v>
      </c>
      <c r="H74" s="3">
        <v>142.0</v>
      </c>
      <c r="I74" s="3">
        <v>80.0</v>
      </c>
      <c r="J74" s="4">
        <f t="shared" si="1"/>
        <v>10</v>
      </c>
      <c r="K74" s="4" t="str">
        <f t="shared" si="2"/>
        <v>Medio</v>
      </c>
      <c r="L74" s="4">
        <f t="shared" si="3"/>
        <v>5.523</v>
      </c>
    </row>
    <row r="75">
      <c r="A75" s="1">
        <v>74.0</v>
      </c>
      <c r="B75" s="1" t="s">
        <v>85</v>
      </c>
      <c r="C75" s="3">
        <v>5467.0</v>
      </c>
      <c r="D75" s="3">
        <v>493.0</v>
      </c>
      <c r="E75" s="3">
        <v>1098.0</v>
      </c>
      <c r="F75" s="3">
        <v>718.0</v>
      </c>
      <c r="G75" s="3">
        <v>389.0</v>
      </c>
      <c r="H75" s="3">
        <v>230.0</v>
      </c>
      <c r="I75" s="3">
        <v>144.0</v>
      </c>
      <c r="J75" s="4">
        <f t="shared" si="1"/>
        <v>7</v>
      </c>
      <c r="K75" s="4" t="str">
        <f t="shared" si="2"/>
        <v>Medio</v>
      </c>
      <c r="L75" s="4">
        <f t="shared" si="3"/>
        <v>5.467</v>
      </c>
    </row>
    <row r="76">
      <c r="A76" s="1">
        <v>75.0</v>
      </c>
      <c r="B76" s="1" t="s">
        <v>86</v>
      </c>
      <c r="C76" s="3">
        <v>5432.0</v>
      </c>
      <c r="D76" s="3">
        <v>1155.0</v>
      </c>
      <c r="E76" s="3">
        <v>1266.0</v>
      </c>
      <c r="F76" s="3">
        <v>914.0</v>
      </c>
      <c r="G76" s="3">
        <v>296.0</v>
      </c>
      <c r="H76" s="3">
        <v>119.0</v>
      </c>
      <c r="I76" s="3">
        <v>22.0</v>
      </c>
      <c r="J76" s="4">
        <f t="shared" si="1"/>
        <v>9</v>
      </c>
      <c r="K76" s="4" t="str">
        <f t="shared" si="2"/>
        <v>Medio</v>
      </c>
      <c r="L76" s="4">
        <f t="shared" si="3"/>
        <v>5.432</v>
      </c>
    </row>
    <row r="77">
      <c r="A77" s="1">
        <v>76.0</v>
      </c>
      <c r="B77" s="1" t="s">
        <v>87</v>
      </c>
      <c r="C77" s="3">
        <v>5430.0</v>
      </c>
      <c r="D77" s="3">
        <v>1438.0</v>
      </c>
      <c r="E77" s="3">
        <v>1277.0</v>
      </c>
      <c r="F77" s="3">
        <v>1122.0</v>
      </c>
      <c r="G77" s="3">
        <v>440.0</v>
      </c>
      <c r="H77" s="3">
        <v>258.0</v>
      </c>
      <c r="I77" s="3">
        <v>287.0</v>
      </c>
      <c r="J77" s="4">
        <f t="shared" si="1"/>
        <v>18</v>
      </c>
      <c r="K77" s="4" t="str">
        <f t="shared" si="2"/>
        <v>Medio</v>
      </c>
      <c r="L77" s="4">
        <f t="shared" si="3"/>
        <v>5.43</v>
      </c>
    </row>
    <row r="78">
      <c r="A78" s="1">
        <v>77.0</v>
      </c>
      <c r="B78" s="1" t="s">
        <v>88</v>
      </c>
      <c r="C78" s="3">
        <v>5425.0</v>
      </c>
      <c r="D78" s="3">
        <v>1015.0</v>
      </c>
      <c r="E78" s="3">
        <v>1401.0</v>
      </c>
      <c r="F78" s="3">
        <v>779.0</v>
      </c>
      <c r="G78" s="3">
        <v>497.0</v>
      </c>
      <c r="H78" s="3">
        <v>113.0</v>
      </c>
      <c r="I78" s="3">
        <v>101.0</v>
      </c>
      <c r="J78" s="4">
        <f t="shared" si="1"/>
        <v>22</v>
      </c>
      <c r="K78" s="4" t="str">
        <f t="shared" si="2"/>
        <v>Medio</v>
      </c>
      <c r="L78" s="4">
        <f t="shared" si="3"/>
        <v>5.425</v>
      </c>
    </row>
    <row r="79">
      <c r="A79" s="1">
        <v>78.0</v>
      </c>
      <c r="B79" s="1" t="s">
        <v>89</v>
      </c>
      <c r="C79" s="3">
        <v>5386.0</v>
      </c>
      <c r="D79" s="3">
        <v>945.0</v>
      </c>
      <c r="E79" s="3">
        <v>1212.0</v>
      </c>
      <c r="F79" s="3">
        <v>845.0</v>
      </c>
      <c r="G79" s="3">
        <v>212.0</v>
      </c>
      <c r="H79" s="3">
        <v>263.0</v>
      </c>
      <c r="I79" s="3">
        <v>6.0</v>
      </c>
      <c r="J79" s="4">
        <f t="shared" si="1"/>
        <v>6</v>
      </c>
      <c r="K79" s="4" t="str">
        <f t="shared" si="2"/>
        <v>Medio</v>
      </c>
      <c r="L79" s="4">
        <f t="shared" si="3"/>
        <v>5.386</v>
      </c>
    </row>
    <row r="80">
      <c r="A80" s="1">
        <v>79.0</v>
      </c>
      <c r="B80" s="1" t="s">
        <v>90</v>
      </c>
      <c r="C80" s="3">
        <v>5373.0</v>
      </c>
      <c r="D80" s="3">
        <v>1183.0</v>
      </c>
      <c r="E80" s="3">
        <v>1360.0</v>
      </c>
      <c r="F80" s="3">
        <v>808.0</v>
      </c>
      <c r="G80" s="3">
        <v>195.0</v>
      </c>
      <c r="H80" s="3">
        <v>83.0</v>
      </c>
      <c r="I80" s="3">
        <v>106.0</v>
      </c>
      <c r="J80" s="4">
        <f t="shared" si="1"/>
        <v>8</v>
      </c>
      <c r="K80" s="4" t="str">
        <f t="shared" si="2"/>
        <v>Medio</v>
      </c>
      <c r="L80" s="4">
        <f t="shared" si="3"/>
        <v>5.373</v>
      </c>
    </row>
    <row r="81">
      <c r="A81" s="1">
        <v>80.0</v>
      </c>
      <c r="B81" s="1" t="s">
        <v>91</v>
      </c>
      <c r="C81" s="3">
        <v>5339.0</v>
      </c>
      <c r="D81" s="3">
        <v>1221.0</v>
      </c>
      <c r="E81" s="3">
        <v>1171.0</v>
      </c>
      <c r="F81" s="3">
        <v>828.0</v>
      </c>
      <c r="G81" s="3">
        <v>508.0</v>
      </c>
      <c r="H81" s="3">
        <v>260.0</v>
      </c>
      <c r="I81" s="3">
        <v>24.0</v>
      </c>
      <c r="J81" s="4">
        <f t="shared" si="1"/>
        <v>7</v>
      </c>
      <c r="K81" s="4" t="str">
        <f t="shared" si="2"/>
        <v>Medio</v>
      </c>
      <c r="L81" s="4">
        <f t="shared" si="3"/>
        <v>5.339</v>
      </c>
    </row>
    <row r="82">
      <c r="A82" s="1">
        <v>81.0</v>
      </c>
      <c r="B82" s="1" t="s">
        <v>92</v>
      </c>
      <c r="C82" s="3">
        <v>5323.0</v>
      </c>
      <c r="D82" s="3">
        <v>1067.0</v>
      </c>
      <c r="E82" s="3">
        <v>1465.0</v>
      </c>
      <c r="F82" s="3">
        <v>789.0</v>
      </c>
      <c r="G82" s="3">
        <v>235.0</v>
      </c>
      <c r="H82" s="3">
        <v>94.0</v>
      </c>
      <c r="I82" s="3">
        <v>142.0</v>
      </c>
      <c r="J82" s="4">
        <f t="shared" si="1"/>
        <v>6</v>
      </c>
      <c r="K82" s="4" t="str">
        <f t="shared" si="2"/>
        <v>Medio</v>
      </c>
      <c r="L82" s="4">
        <f t="shared" si="3"/>
        <v>5.323</v>
      </c>
    </row>
    <row r="83">
      <c r="A83" s="1">
        <v>82.0</v>
      </c>
      <c r="B83" s="1" t="s">
        <v>93</v>
      </c>
      <c r="C83" s="3">
        <v>5287.0</v>
      </c>
      <c r="D83" s="3">
        <v>1181.0</v>
      </c>
      <c r="E83" s="3">
        <v>1156.0</v>
      </c>
      <c r="F83" s="3">
        <v>999.0</v>
      </c>
      <c r="G83" s="3">
        <v>67.0</v>
      </c>
      <c r="H83" s="3">
        <v>0.0</v>
      </c>
      <c r="I83" s="3">
        <v>34.0</v>
      </c>
      <c r="J83" s="4">
        <f t="shared" si="1"/>
        <v>8</v>
      </c>
      <c r="K83" s="4" t="str">
        <f t="shared" si="2"/>
        <v>Medio</v>
      </c>
      <c r="L83" s="4">
        <f t="shared" si="3"/>
        <v>5.287</v>
      </c>
    </row>
    <row r="84">
      <c r="A84" s="1">
        <v>83.0</v>
      </c>
      <c r="B84" s="1" t="s">
        <v>94</v>
      </c>
      <c r="C84" s="3">
        <v>5285.0</v>
      </c>
      <c r="D84" s="3">
        <v>948.0</v>
      </c>
      <c r="E84" s="3">
        <v>1531.0</v>
      </c>
      <c r="F84" s="3">
        <v>667.0</v>
      </c>
      <c r="G84" s="3">
        <v>317.0</v>
      </c>
      <c r="H84" s="3">
        <v>235.0</v>
      </c>
      <c r="I84" s="3">
        <v>38.0</v>
      </c>
      <c r="J84" s="4">
        <f t="shared" si="1"/>
        <v>15</v>
      </c>
      <c r="K84" s="4" t="str">
        <f t="shared" si="2"/>
        <v>Medio</v>
      </c>
      <c r="L84" s="4">
        <f t="shared" si="3"/>
        <v>5.285</v>
      </c>
    </row>
    <row r="85">
      <c r="A85" s="1">
        <v>84.0</v>
      </c>
      <c r="B85" s="1" t="s">
        <v>95</v>
      </c>
      <c r="C85" s="3">
        <v>5274.0</v>
      </c>
      <c r="D85" s="3">
        <v>983.0</v>
      </c>
      <c r="E85" s="3">
        <v>1294.0</v>
      </c>
      <c r="F85" s="3">
        <v>838.0</v>
      </c>
      <c r="G85" s="3">
        <v>345.0</v>
      </c>
      <c r="H85" s="3">
        <v>185.0</v>
      </c>
      <c r="I85" s="3">
        <v>34.0</v>
      </c>
      <c r="J85" s="4">
        <f t="shared" si="1"/>
        <v>7</v>
      </c>
      <c r="K85" s="4" t="str">
        <f t="shared" si="2"/>
        <v>Medio</v>
      </c>
      <c r="L85" s="4">
        <f t="shared" si="3"/>
        <v>5.274</v>
      </c>
    </row>
    <row r="86">
      <c r="A86" s="1">
        <v>85.0</v>
      </c>
      <c r="B86" s="1" t="s">
        <v>96</v>
      </c>
      <c r="C86" s="3">
        <v>5265.0</v>
      </c>
      <c r="D86" s="3">
        <v>696.0</v>
      </c>
      <c r="E86" s="3">
        <v>1111.0</v>
      </c>
      <c r="F86" s="3">
        <v>245.0</v>
      </c>
      <c r="G86" s="3">
        <v>426.0</v>
      </c>
      <c r="H86" s="3">
        <v>215.0</v>
      </c>
      <c r="I86" s="3">
        <v>41.0</v>
      </c>
      <c r="J86" s="4">
        <f t="shared" si="1"/>
        <v>10</v>
      </c>
      <c r="K86" s="4" t="str">
        <f t="shared" si="2"/>
        <v>Medio</v>
      </c>
      <c r="L86" s="4">
        <f t="shared" si="3"/>
        <v>5.265</v>
      </c>
    </row>
    <row r="87">
      <c r="A87" s="1">
        <v>86.0</v>
      </c>
      <c r="B87" s="1" t="s">
        <v>97</v>
      </c>
      <c r="C87" s="3">
        <v>5261.0</v>
      </c>
      <c r="D87" s="3">
        <v>551.0</v>
      </c>
      <c r="E87" s="3">
        <v>1438.0</v>
      </c>
      <c r="F87" s="3">
        <v>723.0</v>
      </c>
      <c r="G87" s="3">
        <v>508.0</v>
      </c>
      <c r="H87" s="3">
        <v>300.0</v>
      </c>
      <c r="I87" s="3">
        <v>23.0</v>
      </c>
      <c r="J87" s="4">
        <f t="shared" si="1"/>
        <v>12</v>
      </c>
      <c r="K87" s="4" t="str">
        <f t="shared" si="2"/>
        <v>Medio</v>
      </c>
      <c r="L87" s="4">
        <f t="shared" si="3"/>
        <v>5.261</v>
      </c>
    </row>
    <row r="88">
      <c r="A88" s="1">
        <v>87.0</v>
      </c>
      <c r="B88" s="1" t="s">
        <v>98</v>
      </c>
      <c r="C88" s="3">
        <v>5247.0</v>
      </c>
      <c r="D88" s="3">
        <v>1052.0</v>
      </c>
      <c r="E88" s="3">
        <v>1538.0</v>
      </c>
      <c r="F88" s="3">
        <v>657.0</v>
      </c>
      <c r="G88" s="3">
        <v>394.0</v>
      </c>
      <c r="H88" s="3">
        <v>244.0</v>
      </c>
      <c r="I88" s="3">
        <v>28.0</v>
      </c>
      <c r="J88" s="4">
        <f t="shared" si="1"/>
        <v>7</v>
      </c>
      <c r="K88" s="4" t="str">
        <f t="shared" si="2"/>
        <v>Medio</v>
      </c>
      <c r="L88" s="4">
        <f t="shared" si="3"/>
        <v>5.247</v>
      </c>
    </row>
    <row r="89">
      <c r="A89" s="1">
        <v>88.0</v>
      </c>
      <c r="B89" s="1" t="s">
        <v>99</v>
      </c>
      <c r="C89" s="3">
        <v>5211.0</v>
      </c>
      <c r="D89" s="3">
        <v>1002.0</v>
      </c>
      <c r="E89" s="3">
        <v>1160.0</v>
      </c>
      <c r="F89" s="3">
        <v>785.0</v>
      </c>
      <c r="G89" s="3">
        <v>86.0</v>
      </c>
      <c r="H89" s="3">
        <v>73.0</v>
      </c>
      <c r="I89" s="3">
        <v>114.0</v>
      </c>
      <c r="J89" s="4">
        <f t="shared" si="1"/>
        <v>7</v>
      </c>
      <c r="K89" s="4" t="str">
        <f t="shared" si="2"/>
        <v>Medio</v>
      </c>
      <c r="L89" s="4">
        <f t="shared" si="3"/>
        <v>5.211</v>
      </c>
    </row>
    <row r="90">
      <c r="A90" s="1">
        <v>89.0</v>
      </c>
      <c r="B90" s="1" t="s">
        <v>100</v>
      </c>
      <c r="C90" s="3">
        <v>5208.0</v>
      </c>
      <c r="D90" s="3">
        <v>801.0</v>
      </c>
      <c r="E90" s="3">
        <v>782.0</v>
      </c>
      <c r="F90" s="3">
        <v>782.0</v>
      </c>
      <c r="G90" s="3">
        <v>418.0</v>
      </c>
      <c r="H90" s="3">
        <v>36.0</v>
      </c>
      <c r="I90" s="3">
        <v>76.0</v>
      </c>
      <c r="J90" s="4">
        <f t="shared" si="1"/>
        <v>10</v>
      </c>
      <c r="K90" s="4" t="str">
        <f t="shared" si="2"/>
        <v>Medio</v>
      </c>
      <c r="L90" s="4">
        <f t="shared" si="3"/>
        <v>5.208</v>
      </c>
    </row>
    <row r="91">
      <c r="A91" s="1">
        <v>90.0</v>
      </c>
      <c r="B91" s="1" t="s">
        <v>101</v>
      </c>
      <c r="C91" s="3">
        <v>5208.0</v>
      </c>
      <c r="D91" s="3">
        <v>1043.0</v>
      </c>
      <c r="E91" s="3">
        <v>1147.0</v>
      </c>
      <c r="F91" s="3">
        <v>769.0</v>
      </c>
      <c r="G91" s="3">
        <v>351.0</v>
      </c>
      <c r="H91" s="3">
        <v>35.0</v>
      </c>
      <c r="I91" s="3">
        <v>182.0</v>
      </c>
      <c r="J91" s="4">
        <f t="shared" si="1"/>
        <v>7</v>
      </c>
      <c r="K91" s="4" t="str">
        <f t="shared" si="2"/>
        <v>Medio</v>
      </c>
      <c r="L91" s="4">
        <f t="shared" si="3"/>
        <v>5.208</v>
      </c>
    </row>
    <row r="92">
      <c r="A92" s="1">
        <v>91.0</v>
      </c>
      <c r="B92" s="1" t="s">
        <v>102</v>
      </c>
      <c r="C92" s="3">
        <v>5197.0</v>
      </c>
      <c r="D92" s="3">
        <v>987.0</v>
      </c>
      <c r="E92" s="3">
        <v>1224.0</v>
      </c>
      <c r="F92" s="3">
        <v>815.0</v>
      </c>
      <c r="G92" s="3">
        <v>216.0</v>
      </c>
      <c r="H92" s="3">
        <v>166.0</v>
      </c>
      <c r="I92" s="3">
        <v>27.0</v>
      </c>
      <c r="J92" s="4">
        <f t="shared" si="1"/>
        <v>9</v>
      </c>
      <c r="K92" s="4" t="str">
        <f t="shared" si="2"/>
        <v>Medio</v>
      </c>
      <c r="L92" s="4">
        <f t="shared" si="3"/>
        <v>5.197</v>
      </c>
    </row>
    <row r="93">
      <c r="A93" s="1">
        <v>92.0</v>
      </c>
      <c r="B93" s="1" t="s">
        <v>103</v>
      </c>
      <c r="C93" s="3">
        <v>5192.0</v>
      </c>
      <c r="D93" s="3">
        <v>931.0</v>
      </c>
      <c r="E93" s="3">
        <v>1203.0</v>
      </c>
      <c r="F93" s="3">
        <v>660.0</v>
      </c>
      <c r="G93" s="3">
        <v>491.0</v>
      </c>
      <c r="H93" s="3">
        <v>498.0</v>
      </c>
      <c r="I93" s="3">
        <v>28.0</v>
      </c>
      <c r="J93" s="4">
        <f t="shared" si="1"/>
        <v>5</v>
      </c>
      <c r="K93" s="4" t="str">
        <f t="shared" si="2"/>
        <v>Medio</v>
      </c>
      <c r="L93" s="4">
        <f t="shared" si="3"/>
        <v>5.192</v>
      </c>
    </row>
    <row r="94">
      <c r="A94" s="1">
        <v>93.0</v>
      </c>
      <c r="B94" s="1" t="s">
        <v>104</v>
      </c>
      <c r="C94" s="3">
        <v>5191.0</v>
      </c>
      <c r="D94" s="3">
        <v>1029.0</v>
      </c>
      <c r="E94" s="3">
        <v>1125.0</v>
      </c>
      <c r="F94" s="3">
        <v>893.0</v>
      </c>
      <c r="G94" s="3">
        <v>521.0</v>
      </c>
      <c r="H94" s="3">
        <v>58.0</v>
      </c>
      <c r="I94" s="3">
        <v>100.0</v>
      </c>
      <c r="J94" s="4">
        <f t="shared" si="1"/>
        <v>7</v>
      </c>
      <c r="K94" s="4" t="str">
        <f t="shared" si="2"/>
        <v>Medio</v>
      </c>
      <c r="L94" s="4">
        <f t="shared" si="3"/>
        <v>5.191</v>
      </c>
    </row>
    <row r="95">
      <c r="A95" s="1">
        <v>94.0</v>
      </c>
      <c r="B95" s="1" t="s">
        <v>105</v>
      </c>
      <c r="C95" s="3">
        <v>5175.0</v>
      </c>
      <c r="D95" s="3">
        <v>741.0</v>
      </c>
      <c r="E95" s="3">
        <v>1346.0</v>
      </c>
      <c r="F95" s="3">
        <v>851.0</v>
      </c>
      <c r="G95" s="3">
        <v>543.0</v>
      </c>
      <c r="H95" s="3">
        <v>147.0</v>
      </c>
      <c r="I95" s="3">
        <v>73.0</v>
      </c>
      <c r="J95" s="4">
        <f t="shared" si="1"/>
        <v>6</v>
      </c>
      <c r="K95" s="4" t="str">
        <f t="shared" si="2"/>
        <v>Medio</v>
      </c>
      <c r="L95" s="4">
        <f t="shared" si="3"/>
        <v>5.175</v>
      </c>
    </row>
    <row r="96">
      <c r="A96" s="1">
        <v>95.0</v>
      </c>
      <c r="B96" s="1" t="s">
        <v>106</v>
      </c>
      <c r="C96" s="3">
        <v>5082.0</v>
      </c>
      <c r="D96" s="3">
        <v>813.0</v>
      </c>
      <c r="E96" s="3">
        <v>1321.0</v>
      </c>
      <c r="F96" s="3">
        <v>604.0</v>
      </c>
      <c r="G96" s="3">
        <v>457.0</v>
      </c>
      <c r="H96" s="3">
        <v>370.0</v>
      </c>
      <c r="I96" s="3">
        <v>167.0</v>
      </c>
      <c r="J96" s="4">
        <f t="shared" si="1"/>
        <v>8</v>
      </c>
      <c r="K96" s="4" t="str">
        <f t="shared" si="2"/>
        <v>Medio</v>
      </c>
      <c r="L96" s="4">
        <f t="shared" si="3"/>
        <v>5.082</v>
      </c>
    </row>
    <row r="97">
      <c r="A97" s="1">
        <v>96.0</v>
      </c>
      <c r="B97" s="1" t="s">
        <v>107</v>
      </c>
      <c r="C97" s="3">
        <v>5044.0</v>
      </c>
      <c r="D97" s="3">
        <v>549.0</v>
      </c>
      <c r="E97" s="3">
        <v>910.0</v>
      </c>
      <c r="F97" s="3">
        <v>331.0</v>
      </c>
      <c r="G97" s="3">
        <v>381.0</v>
      </c>
      <c r="H97" s="3">
        <v>187.0</v>
      </c>
      <c r="I97" s="3">
        <v>37.0</v>
      </c>
      <c r="J97" s="4">
        <f t="shared" si="1"/>
        <v>8</v>
      </c>
      <c r="K97" s="4" t="str">
        <f t="shared" si="2"/>
        <v>Medio</v>
      </c>
      <c r="L97" s="4">
        <f t="shared" si="3"/>
        <v>5.044</v>
      </c>
    </row>
    <row r="98">
      <c r="A98" s="1">
        <v>97.0</v>
      </c>
      <c r="B98" s="1" t="s">
        <v>108</v>
      </c>
      <c r="C98" s="3">
        <v>5011.0</v>
      </c>
      <c r="D98" s="3">
        <v>1092.0</v>
      </c>
      <c r="E98" s="3">
        <v>1513.0</v>
      </c>
      <c r="F98" s="3">
        <v>815.0</v>
      </c>
      <c r="G98" s="3">
        <v>311.0</v>
      </c>
      <c r="H98" s="3">
        <v>81.0</v>
      </c>
      <c r="I98" s="3">
        <v>4.0</v>
      </c>
      <c r="J98" s="4">
        <f t="shared" si="1"/>
        <v>5</v>
      </c>
      <c r="K98" s="4" t="str">
        <f t="shared" si="2"/>
        <v>Medio</v>
      </c>
      <c r="L98" s="4">
        <f t="shared" si="3"/>
        <v>5.011</v>
      </c>
    </row>
    <row r="99">
      <c r="A99" s="1">
        <v>98.0</v>
      </c>
      <c r="B99" s="1" t="s">
        <v>109</v>
      </c>
      <c r="C99" s="3">
        <v>4996.0</v>
      </c>
      <c r="D99" s="3">
        <v>611.0</v>
      </c>
      <c r="E99" s="3">
        <v>868.0</v>
      </c>
      <c r="F99" s="3">
        <v>486.0</v>
      </c>
      <c r="G99" s="3">
        <v>381.0</v>
      </c>
      <c r="H99" s="3">
        <v>245.0</v>
      </c>
      <c r="I99" s="3">
        <v>40.0</v>
      </c>
      <c r="J99" s="4">
        <f t="shared" si="1"/>
        <v>11</v>
      </c>
      <c r="K99" s="4" t="str">
        <f t="shared" si="2"/>
        <v>Medio</v>
      </c>
      <c r="L99" s="4">
        <f t="shared" si="3"/>
        <v>4.996</v>
      </c>
    </row>
    <row r="100">
      <c r="A100" s="1">
        <v>99.0</v>
      </c>
      <c r="B100" s="1" t="s">
        <v>110</v>
      </c>
      <c r="C100" s="3">
        <v>4944.0</v>
      </c>
      <c r="D100" s="3">
        <v>569.0</v>
      </c>
      <c r="E100" s="3">
        <v>808.0</v>
      </c>
      <c r="F100" s="3">
        <v>232.0</v>
      </c>
      <c r="G100" s="3">
        <v>352.0</v>
      </c>
      <c r="H100" s="3">
        <v>154.0</v>
      </c>
      <c r="I100" s="3">
        <v>90.0</v>
      </c>
      <c r="J100" s="4">
        <f t="shared" si="1"/>
        <v>5</v>
      </c>
      <c r="K100" s="4" t="str">
        <f t="shared" si="2"/>
        <v>Medio</v>
      </c>
      <c r="L100" s="4">
        <f t="shared" si="3"/>
        <v>4.944</v>
      </c>
    </row>
    <row r="101">
      <c r="A101" s="1">
        <v>100.0</v>
      </c>
      <c r="B101" s="1" t="s">
        <v>111</v>
      </c>
      <c r="C101" s="3">
        <v>4913.0</v>
      </c>
      <c r="D101" s="3">
        <v>446.0</v>
      </c>
      <c r="E101" s="3">
        <v>1226.0</v>
      </c>
      <c r="F101" s="3">
        <v>677.0</v>
      </c>
      <c r="G101" s="3">
        <v>439.0</v>
      </c>
      <c r="H101" s="3">
        <v>285.0</v>
      </c>
      <c r="I101" s="3">
        <v>89.0</v>
      </c>
      <c r="J101" s="4">
        <f t="shared" si="1"/>
        <v>6</v>
      </c>
      <c r="K101" s="4" t="str">
        <f t="shared" si="2"/>
        <v>Medio</v>
      </c>
      <c r="L101" s="4">
        <f t="shared" si="3"/>
        <v>4.913</v>
      </c>
    </row>
    <row r="102">
      <c r="A102" s="1">
        <v>101.0</v>
      </c>
      <c r="B102" s="1" t="s">
        <v>112</v>
      </c>
      <c r="C102" s="3">
        <v>4906.0</v>
      </c>
      <c r="D102" s="3">
        <v>837.0</v>
      </c>
      <c r="E102" s="3">
        <v>1225.0</v>
      </c>
      <c r="F102" s="3">
        <v>815.0</v>
      </c>
      <c r="G102" s="3">
        <v>383.0</v>
      </c>
      <c r="H102" s="3">
        <v>110.0</v>
      </c>
      <c r="I102" s="3">
        <v>130.0</v>
      </c>
      <c r="J102" s="4">
        <f t="shared" si="1"/>
        <v>5</v>
      </c>
      <c r="K102" s="4" t="str">
        <f t="shared" si="2"/>
        <v>Medio</v>
      </c>
      <c r="L102" s="4">
        <f t="shared" si="3"/>
        <v>4.906</v>
      </c>
    </row>
    <row r="103">
      <c r="A103" s="1">
        <v>102.0</v>
      </c>
      <c r="B103" s="1" t="s">
        <v>113</v>
      </c>
      <c r="C103" s="3">
        <v>4883.0</v>
      </c>
      <c r="D103" s="3">
        <v>393.0</v>
      </c>
      <c r="E103" s="3">
        <v>437.0</v>
      </c>
      <c r="F103" s="3">
        <v>397.0</v>
      </c>
      <c r="G103" s="3">
        <v>349.0</v>
      </c>
      <c r="H103" s="3">
        <v>175.0</v>
      </c>
      <c r="I103" s="3">
        <v>82.0</v>
      </c>
      <c r="J103" s="4">
        <f t="shared" si="1"/>
        <v>19</v>
      </c>
      <c r="K103" s="4" t="str">
        <f t="shared" si="2"/>
        <v>Medio</v>
      </c>
      <c r="L103" s="4">
        <f t="shared" si="3"/>
        <v>4.883</v>
      </c>
    </row>
    <row r="104">
      <c r="A104" s="1">
        <v>103.0</v>
      </c>
      <c r="B104" s="1" t="s">
        <v>114</v>
      </c>
      <c r="C104" s="3">
        <v>4812.0</v>
      </c>
      <c r="D104" s="3">
        <v>673.0</v>
      </c>
      <c r="E104" s="3">
        <v>799.0</v>
      </c>
      <c r="F104" s="3">
        <v>508.0</v>
      </c>
      <c r="G104" s="3">
        <v>372.0</v>
      </c>
      <c r="H104" s="3">
        <v>105.0</v>
      </c>
      <c r="I104" s="3">
        <v>93.0</v>
      </c>
      <c r="J104" s="4">
        <f t="shared" si="1"/>
        <v>5</v>
      </c>
      <c r="K104" s="4" t="str">
        <f t="shared" si="2"/>
        <v>Medio</v>
      </c>
      <c r="L104" s="4">
        <f t="shared" si="3"/>
        <v>4.812</v>
      </c>
    </row>
    <row r="105">
      <c r="A105" s="1">
        <v>104.0</v>
      </c>
      <c r="B105" s="1" t="s">
        <v>115</v>
      </c>
      <c r="C105" s="3">
        <v>4799.0</v>
      </c>
      <c r="D105" s="3">
        <v>1057.0</v>
      </c>
      <c r="E105" s="3">
        <v>1183.0</v>
      </c>
      <c r="F105" s="3">
        <v>571.0</v>
      </c>
      <c r="G105" s="3">
        <v>295.0</v>
      </c>
      <c r="H105" s="3">
        <v>43.0</v>
      </c>
      <c r="I105" s="3">
        <v>55.0</v>
      </c>
      <c r="J105" s="4">
        <f t="shared" si="1"/>
        <v>4</v>
      </c>
      <c r="K105" s="4" t="str">
        <f t="shared" si="2"/>
        <v>Medio</v>
      </c>
      <c r="L105" s="4">
        <f t="shared" si="3"/>
        <v>4.799</v>
      </c>
    </row>
    <row r="106">
      <c r="A106" s="1">
        <v>105.0</v>
      </c>
      <c r="B106" s="1" t="s">
        <v>116</v>
      </c>
      <c r="C106" s="3">
        <v>4796.0</v>
      </c>
      <c r="D106" s="3">
        <v>764.0</v>
      </c>
      <c r="E106" s="3">
        <v>1030.0</v>
      </c>
      <c r="F106" s="3">
        <v>551.0</v>
      </c>
      <c r="G106" s="3">
        <v>547.0</v>
      </c>
      <c r="H106" s="3">
        <v>266.0</v>
      </c>
      <c r="I106" s="3">
        <v>164.0</v>
      </c>
      <c r="J106" s="4">
        <f t="shared" si="1"/>
        <v>12</v>
      </c>
      <c r="K106" s="4" t="str">
        <f t="shared" si="2"/>
        <v>Medio</v>
      </c>
      <c r="L106" s="4">
        <f t="shared" si="3"/>
        <v>4.796</v>
      </c>
    </row>
    <row r="107">
      <c r="A107" s="1">
        <v>106.0</v>
      </c>
      <c r="B107" s="1" t="s">
        <v>117</v>
      </c>
      <c r="C107" s="3">
        <v>4722.0</v>
      </c>
      <c r="D107" s="3">
        <v>960.0</v>
      </c>
      <c r="E107" s="3">
        <v>1351.0</v>
      </c>
      <c r="F107" s="3">
        <v>469.0</v>
      </c>
      <c r="G107" s="3">
        <v>389.0</v>
      </c>
      <c r="H107" s="3">
        <v>130.0</v>
      </c>
      <c r="I107" s="3">
        <v>55.0</v>
      </c>
      <c r="J107" s="4">
        <f t="shared" si="1"/>
        <v>7</v>
      </c>
      <c r="K107" s="4" t="str">
        <f t="shared" si="2"/>
        <v>Medio</v>
      </c>
      <c r="L107" s="4">
        <f t="shared" si="3"/>
        <v>4.722</v>
      </c>
    </row>
    <row r="108">
      <c r="A108" s="1">
        <v>107.0</v>
      </c>
      <c r="B108" s="1" t="s">
        <v>118</v>
      </c>
      <c r="C108" s="3">
        <v>4719.0</v>
      </c>
      <c r="D108" s="3">
        <v>947.0</v>
      </c>
      <c r="E108" s="3">
        <v>848.0</v>
      </c>
      <c r="F108" s="3">
        <v>874.0</v>
      </c>
      <c r="G108" s="3">
        <v>383.0</v>
      </c>
      <c r="H108" s="3">
        <v>178.0</v>
      </c>
      <c r="I108" s="3">
        <v>27.0</v>
      </c>
      <c r="J108" s="4">
        <f t="shared" si="1"/>
        <v>9</v>
      </c>
      <c r="K108" s="4" t="str">
        <f t="shared" si="2"/>
        <v>Medio</v>
      </c>
      <c r="L108" s="4">
        <f t="shared" si="3"/>
        <v>4.719</v>
      </c>
    </row>
    <row r="109">
      <c r="A109" s="1">
        <v>108.0</v>
      </c>
      <c r="B109" s="1" t="s">
        <v>119</v>
      </c>
      <c r="C109" s="3">
        <v>4707.0</v>
      </c>
      <c r="D109" s="3">
        <v>960.0</v>
      </c>
      <c r="E109" s="3">
        <v>1427.0</v>
      </c>
      <c r="F109" s="3">
        <v>805.0</v>
      </c>
      <c r="G109" s="3">
        <v>154.0</v>
      </c>
      <c r="H109" s="3">
        <v>64.0</v>
      </c>
      <c r="I109" s="3">
        <v>47.0</v>
      </c>
      <c r="J109" s="4">
        <f t="shared" si="1"/>
        <v>8</v>
      </c>
      <c r="K109" s="4" t="str">
        <f t="shared" si="2"/>
        <v>Medio</v>
      </c>
      <c r="L109" s="4">
        <f t="shared" si="3"/>
        <v>4.707</v>
      </c>
    </row>
    <row r="110">
      <c r="A110" s="1">
        <v>109.0</v>
      </c>
      <c r="B110" s="1" t="s">
        <v>120</v>
      </c>
      <c r="C110" s="3">
        <v>4700.0</v>
      </c>
      <c r="D110" s="3">
        <v>574.0</v>
      </c>
      <c r="E110" s="3">
        <v>1122.0</v>
      </c>
      <c r="F110" s="3">
        <v>637.0</v>
      </c>
      <c r="G110" s="3">
        <v>609.0</v>
      </c>
      <c r="H110" s="3">
        <v>232.0</v>
      </c>
      <c r="I110" s="3">
        <v>62.0</v>
      </c>
      <c r="J110" s="4">
        <f t="shared" si="1"/>
        <v>23</v>
      </c>
      <c r="K110" s="4" t="str">
        <f t="shared" si="2"/>
        <v>Medio</v>
      </c>
      <c r="L110" s="4">
        <f t="shared" si="3"/>
        <v>4.7</v>
      </c>
    </row>
    <row r="111">
      <c r="A111" s="1">
        <v>110.0</v>
      </c>
      <c r="B111" s="1" t="s">
        <v>121</v>
      </c>
      <c r="C111" s="3">
        <v>4696.0</v>
      </c>
      <c r="D111" s="3">
        <v>657.0</v>
      </c>
      <c r="E111" s="3">
        <v>1247.0</v>
      </c>
      <c r="F111" s="3">
        <v>672.0</v>
      </c>
      <c r="G111" s="3">
        <v>225.0</v>
      </c>
      <c r="H111" s="3">
        <v>103.0</v>
      </c>
      <c r="I111" s="3">
        <v>66.0</v>
      </c>
      <c r="J111" s="4">
        <f t="shared" si="1"/>
        <v>7</v>
      </c>
      <c r="K111" s="4" t="str">
        <f t="shared" si="2"/>
        <v>Medio</v>
      </c>
      <c r="L111" s="4">
        <f t="shared" si="3"/>
        <v>4.696</v>
      </c>
    </row>
    <row r="112">
      <c r="A112" s="1">
        <v>111.0</v>
      </c>
      <c r="B112" s="1" t="s">
        <v>122</v>
      </c>
      <c r="C112" s="3">
        <v>4681.0</v>
      </c>
      <c r="D112" s="3">
        <v>450.0</v>
      </c>
      <c r="E112" s="3">
        <v>1134.0</v>
      </c>
      <c r="F112" s="3">
        <v>571.0</v>
      </c>
      <c r="G112" s="3">
        <v>292.0</v>
      </c>
      <c r="H112" s="3">
        <v>153.0</v>
      </c>
      <c r="I112" s="3">
        <v>72.0</v>
      </c>
      <c r="J112" s="4">
        <f t="shared" si="1"/>
        <v>7</v>
      </c>
      <c r="K112" s="4" t="str">
        <f t="shared" si="2"/>
        <v>Medio</v>
      </c>
      <c r="L112" s="4">
        <f t="shared" si="3"/>
        <v>4.681</v>
      </c>
    </row>
    <row r="113">
      <c r="A113" s="1">
        <v>112.0</v>
      </c>
      <c r="B113" s="1" t="s">
        <v>123</v>
      </c>
      <c r="C113" s="3">
        <v>4668.0</v>
      </c>
      <c r="D113" s="3">
        <v>0.0</v>
      </c>
      <c r="E113" s="3">
        <v>698.0</v>
      </c>
      <c r="F113" s="3">
        <v>268.0</v>
      </c>
      <c r="G113" s="3">
        <v>559.0</v>
      </c>
      <c r="H113" s="3">
        <v>243.0</v>
      </c>
      <c r="I113" s="3">
        <v>270.0</v>
      </c>
      <c r="J113" s="4">
        <f t="shared" si="1"/>
        <v>7</v>
      </c>
      <c r="K113" s="4" t="str">
        <f t="shared" si="2"/>
        <v>Medio</v>
      </c>
      <c r="L113" s="4">
        <f t="shared" si="3"/>
        <v>4.668</v>
      </c>
    </row>
    <row r="114">
      <c r="A114" s="1">
        <v>113.0</v>
      </c>
      <c r="B114" s="1" t="s">
        <v>124</v>
      </c>
      <c r="C114" s="3">
        <v>4639.0</v>
      </c>
      <c r="D114" s="3">
        <v>879.0</v>
      </c>
      <c r="E114" s="3">
        <v>1313.0</v>
      </c>
      <c r="F114" s="3">
        <v>477.0</v>
      </c>
      <c r="G114" s="3">
        <v>401.0</v>
      </c>
      <c r="H114" s="3">
        <v>70.0</v>
      </c>
      <c r="I114" s="3">
        <v>56.0</v>
      </c>
      <c r="J114" s="4">
        <f t="shared" si="1"/>
        <v>5</v>
      </c>
      <c r="K114" s="4" t="str">
        <f t="shared" si="2"/>
        <v>Medio</v>
      </c>
      <c r="L114" s="4">
        <f t="shared" si="3"/>
        <v>4.639</v>
      </c>
    </row>
    <row r="115">
      <c r="A115" s="1">
        <v>114.0</v>
      </c>
      <c r="B115" s="1" t="s">
        <v>125</v>
      </c>
      <c r="C115" s="3">
        <v>4628.0</v>
      </c>
      <c r="D115" s="3">
        <v>138.0</v>
      </c>
      <c r="E115" s="3">
        <v>774.0</v>
      </c>
      <c r="F115" s="3">
        <v>366.0</v>
      </c>
      <c r="G115" s="3">
        <v>318.0</v>
      </c>
      <c r="H115" s="3">
        <v>188.0</v>
      </c>
      <c r="I115" s="3">
        <v>102.0</v>
      </c>
      <c r="J115" s="4">
        <f t="shared" si="1"/>
        <v>12</v>
      </c>
      <c r="K115" s="4" t="str">
        <f t="shared" si="2"/>
        <v>Medio</v>
      </c>
      <c r="L115" s="4">
        <f t="shared" si="3"/>
        <v>4.628</v>
      </c>
    </row>
    <row r="116">
      <c r="A116" s="1">
        <v>115.0</v>
      </c>
      <c r="B116" s="1" t="s">
        <v>126</v>
      </c>
      <c r="C116" s="3">
        <v>4587.0</v>
      </c>
      <c r="D116" s="3">
        <v>331.0</v>
      </c>
      <c r="E116" s="3">
        <v>1056.0</v>
      </c>
      <c r="F116" s="3">
        <v>380.0</v>
      </c>
      <c r="G116" s="3">
        <v>255.0</v>
      </c>
      <c r="H116" s="3">
        <v>177.0</v>
      </c>
      <c r="I116" s="3">
        <v>113.0</v>
      </c>
      <c r="J116" s="4">
        <f t="shared" si="1"/>
        <v>7</v>
      </c>
      <c r="K116" s="4" t="str">
        <f t="shared" si="2"/>
        <v>Medio</v>
      </c>
      <c r="L116" s="4">
        <f t="shared" si="3"/>
        <v>4.587</v>
      </c>
    </row>
    <row r="117">
      <c r="A117" s="1">
        <v>116.0</v>
      </c>
      <c r="B117" s="1" t="s">
        <v>127</v>
      </c>
      <c r="C117" s="3">
        <v>4559.0</v>
      </c>
      <c r="D117" s="3">
        <v>850.0</v>
      </c>
      <c r="E117" s="3">
        <v>1055.0</v>
      </c>
      <c r="F117" s="3">
        <v>815.0</v>
      </c>
      <c r="G117" s="3">
        <v>283.0</v>
      </c>
      <c r="H117" s="3">
        <v>95.0</v>
      </c>
      <c r="I117" s="3">
        <v>64.0</v>
      </c>
      <c r="J117" s="4">
        <f t="shared" si="1"/>
        <v>4</v>
      </c>
      <c r="K117" s="4" t="str">
        <f t="shared" si="2"/>
        <v>Medio</v>
      </c>
      <c r="L117" s="4">
        <f t="shared" si="3"/>
        <v>4.559</v>
      </c>
    </row>
    <row r="118">
      <c r="A118" s="1">
        <v>117.0</v>
      </c>
      <c r="B118" s="1" t="s">
        <v>128</v>
      </c>
      <c r="C118" s="3">
        <v>4548.0</v>
      </c>
      <c r="D118" s="3">
        <v>1100.0</v>
      </c>
      <c r="E118" s="3">
        <v>842.0</v>
      </c>
      <c r="F118" s="3">
        <v>785.0</v>
      </c>
      <c r="G118" s="3">
        <v>305.0</v>
      </c>
      <c r="H118" s="3">
        <v>270.0</v>
      </c>
      <c r="I118" s="3">
        <v>125.0</v>
      </c>
      <c r="J118" s="4">
        <f t="shared" si="1"/>
        <v>6</v>
      </c>
      <c r="K118" s="4" t="str">
        <f t="shared" si="2"/>
        <v>Medio</v>
      </c>
      <c r="L118" s="4">
        <f t="shared" si="3"/>
        <v>4.548</v>
      </c>
    </row>
    <row r="119">
      <c r="A119" s="1">
        <v>118.0</v>
      </c>
      <c r="B119" s="1" t="s">
        <v>129</v>
      </c>
      <c r="C119" s="3">
        <v>4534.0</v>
      </c>
      <c r="D119" s="3">
        <v>380.0</v>
      </c>
      <c r="E119" s="3">
        <v>829.0</v>
      </c>
      <c r="F119" s="3">
        <v>375.0</v>
      </c>
      <c r="G119" s="3">
        <v>332.0</v>
      </c>
      <c r="H119" s="3">
        <v>207.0</v>
      </c>
      <c r="I119" s="3">
        <v>86.0</v>
      </c>
      <c r="J119" s="4">
        <f t="shared" si="1"/>
        <v>7</v>
      </c>
      <c r="K119" s="4" t="str">
        <f t="shared" si="2"/>
        <v>Medio</v>
      </c>
      <c r="L119" s="4">
        <f t="shared" si="3"/>
        <v>4.534</v>
      </c>
    </row>
    <row r="120">
      <c r="A120" s="1">
        <v>119.0</v>
      </c>
      <c r="B120" s="1" t="s">
        <v>130</v>
      </c>
      <c r="C120" s="3">
        <v>4519.0</v>
      </c>
      <c r="D120" s="3">
        <v>886.0</v>
      </c>
      <c r="E120" s="3">
        <v>666.0</v>
      </c>
      <c r="F120" s="3">
        <v>752.0</v>
      </c>
      <c r="G120" s="3">
        <v>346.0</v>
      </c>
      <c r="H120" s="3">
        <v>43.0</v>
      </c>
      <c r="I120" s="3">
        <v>164.0</v>
      </c>
      <c r="J120" s="4">
        <f t="shared" si="1"/>
        <v>6</v>
      </c>
      <c r="K120" s="4" t="str">
        <f t="shared" si="2"/>
        <v>Medio</v>
      </c>
      <c r="L120" s="4">
        <f t="shared" si="3"/>
        <v>4.519</v>
      </c>
    </row>
    <row r="121">
      <c r="A121" s="1">
        <v>120.0</v>
      </c>
      <c r="B121" s="1" t="s">
        <v>131</v>
      </c>
      <c r="C121" s="3">
        <v>4516.0</v>
      </c>
      <c r="D121" s="3">
        <v>308.0</v>
      </c>
      <c r="E121" s="3">
        <v>939.0</v>
      </c>
      <c r="F121" s="3">
        <v>428.0</v>
      </c>
      <c r="G121" s="3">
        <v>382.0</v>
      </c>
      <c r="H121" s="3">
        <v>269.0</v>
      </c>
      <c r="I121" s="3">
        <v>167.0</v>
      </c>
      <c r="J121" s="4">
        <f t="shared" si="1"/>
        <v>5</v>
      </c>
      <c r="K121" s="4" t="str">
        <f t="shared" si="2"/>
        <v>Medio</v>
      </c>
      <c r="L121" s="4">
        <f t="shared" si="3"/>
        <v>4.516</v>
      </c>
    </row>
    <row r="122">
      <c r="A122" s="1">
        <v>121.0</v>
      </c>
      <c r="B122" s="1" t="s">
        <v>132</v>
      </c>
      <c r="C122" s="3">
        <v>4509.0</v>
      </c>
      <c r="D122" s="3">
        <v>512.0</v>
      </c>
      <c r="E122" s="3">
        <v>983.0</v>
      </c>
      <c r="F122" s="3">
        <v>581.0</v>
      </c>
      <c r="G122" s="3">
        <v>431.0</v>
      </c>
      <c r="H122" s="3">
        <v>372.0</v>
      </c>
      <c r="I122" s="3">
        <v>53.0</v>
      </c>
      <c r="J122" s="4">
        <f t="shared" si="1"/>
        <v>10</v>
      </c>
      <c r="K122" s="4" t="str">
        <f t="shared" si="2"/>
        <v>Medio</v>
      </c>
      <c r="L122" s="4">
        <f t="shared" si="3"/>
        <v>4.509</v>
      </c>
    </row>
    <row r="123">
      <c r="A123" s="1">
        <v>122.0</v>
      </c>
      <c r="B123" s="1" t="s">
        <v>133</v>
      </c>
      <c r="C123" s="3">
        <v>4490.0</v>
      </c>
      <c r="D123" s="3">
        <v>570.0</v>
      </c>
      <c r="E123" s="3">
        <v>1167.0</v>
      </c>
      <c r="F123" s="3">
        <v>489.0</v>
      </c>
      <c r="G123" s="3">
        <v>66.0</v>
      </c>
      <c r="H123" s="3">
        <v>106.0</v>
      </c>
      <c r="I123" s="3">
        <v>88.0</v>
      </c>
      <c r="J123" s="4">
        <f t="shared" si="1"/>
        <v>10</v>
      </c>
      <c r="K123" s="4" t="str">
        <f t="shared" si="2"/>
        <v>Medio</v>
      </c>
      <c r="L123" s="4">
        <f t="shared" si="3"/>
        <v>4.49</v>
      </c>
    </row>
    <row r="124">
      <c r="A124" s="1">
        <v>123.0</v>
      </c>
      <c r="B124" s="1" t="s">
        <v>134</v>
      </c>
      <c r="C124" s="3">
        <v>4466.0</v>
      </c>
      <c r="D124" s="3">
        <v>204.0</v>
      </c>
      <c r="E124" s="3">
        <v>986.0</v>
      </c>
      <c r="F124" s="3">
        <v>390.0</v>
      </c>
      <c r="G124" s="3">
        <v>494.0</v>
      </c>
      <c r="H124" s="3">
        <v>197.0</v>
      </c>
      <c r="I124" s="3">
        <v>138.0</v>
      </c>
      <c r="J124" s="4">
        <f t="shared" si="1"/>
        <v>7</v>
      </c>
      <c r="K124" s="4" t="str">
        <f t="shared" si="2"/>
        <v>Medio</v>
      </c>
      <c r="L124" s="4">
        <f t="shared" si="3"/>
        <v>4.466</v>
      </c>
    </row>
    <row r="125">
      <c r="A125" s="1">
        <v>124.0</v>
      </c>
      <c r="B125" s="1" t="s">
        <v>135</v>
      </c>
      <c r="C125" s="3">
        <v>4461.0</v>
      </c>
      <c r="D125" s="3">
        <v>921.0</v>
      </c>
      <c r="E125" s="3">
        <v>1000.0</v>
      </c>
      <c r="F125" s="3">
        <v>815.0</v>
      </c>
      <c r="G125" s="3">
        <v>167.0</v>
      </c>
      <c r="H125" s="3">
        <v>59.0</v>
      </c>
      <c r="I125" s="3">
        <v>55.0</v>
      </c>
      <c r="J125" s="4">
        <f t="shared" si="1"/>
        <v>10</v>
      </c>
      <c r="K125" s="4" t="str">
        <f t="shared" si="2"/>
        <v>Medio</v>
      </c>
      <c r="L125" s="4">
        <f t="shared" si="3"/>
        <v>4.461</v>
      </c>
    </row>
    <row r="126">
      <c r="A126" s="1">
        <v>125.0</v>
      </c>
      <c r="B126" s="1" t="s">
        <v>136</v>
      </c>
      <c r="C126" s="3">
        <v>4456.0</v>
      </c>
      <c r="D126" s="3">
        <v>562.0</v>
      </c>
      <c r="E126" s="3">
        <v>928.0</v>
      </c>
      <c r="F126" s="3">
        <v>723.0</v>
      </c>
      <c r="G126" s="3">
        <v>527.0</v>
      </c>
      <c r="H126" s="3">
        <v>166.0</v>
      </c>
      <c r="I126" s="3">
        <v>143.0</v>
      </c>
      <c r="J126" s="4">
        <f t="shared" si="1"/>
        <v>4</v>
      </c>
      <c r="K126" s="4" t="str">
        <f t="shared" si="2"/>
        <v>Medio</v>
      </c>
      <c r="L126" s="4">
        <f t="shared" si="3"/>
        <v>4.456</v>
      </c>
    </row>
    <row r="127">
      <c r="A127" s="1">
        <v>126.0</v>
      </c>
      <c r="B127" s="1" t="s">
        <v>137</v>
      </c>
      <c r="C127" s="3">
        <v>4437.0</v>
      </c>
      <c r="D127" s="3">
        <v>1043.0</v>
      </c>
      <c r="E127" s="3">
        <v>980.0</v>
      </c>
      <c r="F127" s="3">
        <v>574.0</v>
      </c>
      <c r="G127" s="3">
        <v>241.0</v>
      </c>
      <c r="H127" s="3">
        <v>148.0</v>
      </c>
      <c r="I127" s="3">
        <v>89.0</v>
      </c>
      <c r="J127" s="4">
        <f t="shared" si="1"/>
        <v>16</v>
      </c>
      <c r="K127" s="4" t="str">
        <f t="shared" si="2"/>
        <v>Medio</v>
      </c>
      <c r="L127" s="4">
        <f t="shared" si="3"/>
        <v>4.437</v>
      </c>
    </row>
    <row r="128">
      <c r="A128" s="1">
        <v>127.0</v>
      </c>
      <c r="B128" s="1" t="s">
        <v>138</v>
      </c>
      <c r="C128" s="3">
        <v>4418.0</v>
      </c>
      <c r="D128" s="3">
        <v>94.0</v>
      </c>
      <c r="E128" s="3">
        <v>1125.0</v>
      </c>
      <c r="F128" s="3">
        <v>357.0</v>
      </c>
      <c r="G128" s="3">
        <v>269.0</v>
      </c>
      <c r="H128" s="3">
        <v>212.0</v>
      </c>
      <c r="I128" s="3">
        <v>53.0</v>
      </c>
      <c r="J128" s="4">
        <f t="shared" si="1"/>
        <v>4</v>
      </c>
      <c r="K128" s="4" t="str">
        <f t="shared" si="2"/>
        <v>Medio</v>
      </c>
      <c r="L128" s="4">
        <f t="shared" si="3"/>
        <v>4.418</v>
      </c>
    </row>
    <row r="129">
      <c r="A129" s="1">
        <v>128.0</v>
      </c>
      <c r="B129" s="1" t="s">
        <v>139</v>
      </c>
      <c r="C129" s="3">
        <v>4390.0</v>
      </c>
      <c r="D129" s="3">
        <v>385.0</v>
      </c>
      <c r="E129" s="3">
        <v>1105.0</v>
      </c>
      <c r="F129" s="3">
        <v>308.0</v>
      </c>
      <c r="G129" s="3">
        <v>327.0</v>
      </c>
      <c r="H129" s="3">
        <v>153.0</v>
      </c>
      <c r="I129" s="3">
        <v>52.0</v>
      </c>
      <c r="J129" s="4">
        <f t="shared" si="1"/>
        <v>12</v>
      </c>
      <c r="K129" s="4" t="str">
        <f t="shared" si="2"/>
        <v>Medio</v>
      </c>
      <c r="L129" s="4">
        <f t="shared" si="3"/>
        <v>4.39</v>
      </c>
    </row>
    <row r="130">
      <c r="A130" s="1">
        <v>129.0</v>
      </c>
      <c r="B130" s="1" t="s">
        <v>140</v>
      </c>
      <c r="C130" s="3">
        <v>4374.0</v>
      </c>
      <c r="D130" s="3">
        <v>268.0</v>
      </c>
      <c r="E130" s="3">
        <v>841.0</v>
      </c>
      <c r="F130" s="3">
        <v>242.0</v>
      </c>
      <c r="G130" s="3">
        <v>309.0</v>
      </c>
      <c r="H130" s="3">
        <v>252.0</v>
      </c>
      <c r="I130" s="3">
        <v>45.0</v>
      </c>
      <c r="J130" s="4">
        <f t="shared" si="1"/>
        <v>9</v>
      </c>
      <c r="K130" s="4" t="str">
        <f t="shared" si="2"/>
        <v>Medio</v>
      </c>
      <c r="L130" s="4">
        <f t="shared" si="3"/>
        <v>4.374</v>
      </c>
    </row>
    <row r="131">
      <c r="A131" s="1">
        <v>130.0</v>
      </c>
      <c r="B131" s="1" t="s">
        <v>141</v>
      </c>
      <c r="C131" s="3">
        <v>4366.0</v>
      </c>
      <c r="D131" s="3">
        <v>949.0</v>
      </c>
      <c r="E131" s="3">
        <v>1265.0</v>
      </c>
      <c r="F131" s="3">
        <v>831.0</v>
      </c>
      <c r="G131" s="3">
        <v>470.0</v>
      </c>
      <c r="H131" s="3">
        <v>244.0</v>
      </c>
      <c r="I131" s="3">
        <v>47.0</v>
      </c>
      <c r="J131" s="4">
        <f t="shared" si="1"/>
        <v>7</v>
      </c>
      <c r="K131" s="4" t="str">
        <f t="shared" si="2"/>
        <v>Medio</v>
      </c>
      <c r="L131" s="4">
        <f t="shared" si="3"/>
        <v>4.366</v>
      </c>
    </row>
    <row r="132">
      <c r="A132" s="1">
        <v>131.0</v>
      </c>
      <c r="B132" s="1" t="s">
        <v>142</v>
      </c>
      <c r="C132" s="3">
        <v>4360.0</v>
      </c>
      <c r="D132" s="3">
        <v>710.0</v>
      </c>
      <c r="E132" s="3">
        <v>1181.0</v>
      </c>
      <c r="F132" s="3">
        <v>555.0</v>
      </c>
      <c r="G132" s="3">
        <v>525.0</v>
      </c>
      <c r="H132" s="3">
        <v>566.0</v>
      </c>
      <c r="I132" s="3">
        <v>172.0</v>
      </c>
      <c r="J132" s="4">
        <f t="shared" si="1"/>
        <v>4</v>
      </c>
      <c r="K132" s="4" t="str">
        <f t="shared" si="2"/>
        <v>Medio</v>
      </c>
      <c r="L132" s="4">
        <f t="shared" si="3"/>
        <v>4.36</v>
      </c>
    </row>
    <row r="133">
      <c r="A133" s="1">
        <v>132.0</v>
      </c>
      <c r="B133" s="1" t="s">
        <v>143</v>
      </c>
      <c r="C133" s="3">
        <v>4350.0</v>
      </c>
      <c r="D133" s="3">
        <v>350.0</v>
      </c>
      <c r="E133" s="3">
        <v>766.0</v>
      </c>
      <c r="F133" s="3">
        <v>192.0</v>
      </c>
      <c r="G133" s="3">
        <v>174.0</v>
      </c>
      <c r="H133" s="3">
        <v>198.0</v>
      </c>
      <c r="I133" s="3">
        <v>78.0</v>
      </c>
      <c r="J133" s="4">
        <f t="shared" si="1"/>
        <v>7</v>
      </c>
      <c r="K133" s="4" t="str">
        <f t="shared" si="2"/>
        <v>Medio</v>
      </c>
      <c r="L133" s="4">
        <f t="shared" si="3"/>
        <v>4.35</v>
      </c>
    </row>
    <row r="134">
      <c r="A134" s="1">
        <v>133.0</v>
      </c>
      <c r="B134" s="1" t="s">
        <v>144</v>
      </c>
      <c r="C134" s="3">
        <v>4332.0</v>
      </c>
      <c r="D134" s="3">
        <v>820.0</v>
      </c>
      <c r="E134" s="3">
        <v>1390.0</v>
      </c>
      <c r="F134" s="3">
        <v>739.0</v>
      </c>
      <c r="G134" s="3">
        <v>178.0</v>
      </c>
      <c r="H134" s="3">
        <v>187.0</v>
      </c>
      <c r="I134" s="3">
        <v>10.0</v>
      </c>
      <c r="J134" s="4">
        <f t="shared" si="1"/>
        <v>8</v>
      </c>
      <c r="K134" s="4" t="str">
        <f t="shared" si="2"/>
        <v>Medio</v>
      </c>
      <c r="L134" s="4">
        <f t="shared" si="3"/>
        <v>4.332</v>
      </c>
    </row>
    <row r="135">
      <c r="A135" s="1">
        <v>134.0</v>
      </c>
      <c r="B135" s="1" t="s">
        <v>145</v>
      </c>
      <c r="C135" s="3">
        <v>4286.0</v>
      </c>
      <c r="D135" s="3">
        <v>336.0</v>
      </c>
      <c r="E135" s="3">
        <v>1033.0</v>
      </c>
      <c r="F135" s="3">
        <v>532.0</v>
      </c>
      <c r="G135" s="3">
        <v>344.0</v>
      </c>
      <c r="H135" s="3">
        <v>209.0</v>
      </c>
      <c r="I135" s="3">
        <v>100.0</v>
      </c>
      <c r="J135" s="4">
        <f t="shared" si="1"/>
        <v>9</v>
      </c>
      <c r="K135" s="4" t="str">
        <f t="shared" si="2"/>
        <v>Medio</v>
      </c>
      <c r="L135" s="4">
        <f t="shared" si="3"/>
        <v>4.286</v>
      </c>
    </row>
    <row r="136">
      <c r="A136" s="1">
        <v>135.0</v>
      </c>
      <c r="B136" s="1" t="s">
        <v>146</v>
      </c>
      <c r="C136" s="3">
        <v>4212.0</v>
      </c>
      <c r="D136" s="3">
        <v>811.0</v>
      </c>
      <c r="E136" s="3">
        <v>1149.0</v>
      </c>
      <c r="F136" s="3">
        <v>0.0</v>
      </c>
      <c r="G136" s="3">
        <v>313.0</v>
      </c>
      <c r="H136" s="3">
        <v>74.0</v>
      </c>
      <c r="I136" s="3">
        <v>135.0</v>
      </c>
      <c r="J136" s="4">
        <f t="shared" si="1"/>
        <v>6</v>
      </c>
      <c r="K136" s="4" t="str">
        <f t="shared" si="2"/>
        <v>Medio</v>
      </c>
      <c r="L136" s="4">
        <f t="shared" si="3"/>
        <v>4.212</v>
      </c>
    </row>
    <row r="137">
      <c r="A137" s="1">
        <v>136.0</v>
      </c>
      <c r="B137" s="1" t="s">
        <v>147</v>
      </c>
      <c r="C137" s="3">
        <v>4189.0</v>
      </c>
      <c r="D137" s="3">
        <v>332.0</v>
      </c>
      <c r="E137" s="3">
        <v>1069.0</v>
      </c>
      <c r="F137" s="3">
        <v>443.0</v>
      </c>
      <c r="G137" s="3">
        <v>356.0</v>
      </c>
      <c r="H137" s="3">
        <v>252.0</v>
      </c>
      <c r="I137" s="3">
        <v>60.0</v>
      </c>
      <c r="J137" s="4">
        <f t="shared" si="1"/>
        <v>5</v>
      </c>
      <c r="K137" s="4" t="str">
        <f t="shared" si="2"/>
        <v>Medio</v>
      </c>
      <c r="L137" s="4">
        <f t="shared" si="3"/>
        <v>4.189</v>
      </c>
    </row>
    <row r="138">
      <c r="A138" s="1">
        <v>137.0</v>
      </c>
      <c r="B138" s="1" t="s">
        <v>148</v>
      </c>
      <c r="C138" s="3">
        <v>4166.0</v>
      </c>
      <c r="D138" s="3">
        <v>913.0</v>
      </c>
      <c r="E138" s="3">
        <v>1039.0</v>
      </c>
      <c r="F138" s="3">
        <v>644.0</v>
      </c>
      <c r="G138" s="3">
        <v>241.0</v>
      </c>
      <c r="H138" s="3">
        <v>76.0</v>
      </c>
      <c r="I138" s="3">
        <v>67.0</v>
      </c>
      <c r="J138" s="4">
        <f t="shared" si="1"/>
        <v>6</v>
      </c>
      <c r="K138" s="4" t="str">
        <f t="shared" si="2"/>
        <v>Medio</v>
      </c>
      <c r="L138" s="4">
        <f t="shared" si="3"/>
        <v>4.166</v>
      </c>
    </row>
    <row r="139">
      <c r="A139" s="1">
        <v>138.0</v>
      </c>
      <c r="B139" s="1" t="s">
        <v>149</v>
      </c>
      <c r="C139" s="3">
        <v>4107.0</v>
      </c>
      <c r="D139" s="3">
        <v>578.0</v>
      </c>
      <c r="E139" s="3">
        <v>1058.0</v>
      </c>
      <c r="F139" s="3">
        <v>426.0</v>
      </c>
      <c r="G139" s="3">
        <v>431.0</v>
      </c>
      <c r="H139" s="3">
        <v>247.0</v>
      </c>
      <c r="I139" s="3">
        <v>87.0</v>
      </c>
      <c r="J139" s="4">
        <f t="shared" si="1"/>
        <v>4</v>
      </c>
      <c r="K139" s="4" t="str">
        <f t="shared" si="2"/>
        <v>Medio</v>
      </c>
      <c r="L139" s="4">
        <f t="shared" si="3"/>
        <v>4.107</v>
      </c>
    </row>
    <row r="140">
      <c r="A140" s="1">
        <v>139.0</v>
      </c>
      <c r="B140" s="1" t="s">
        <v>150</v>
      </c>
      <c r="C140" s="3">
        <v>4085.0</v>
      </c>
      <c r="D140" s="3">
        <v>275.0</v>
      </c>
      <c r="E140" s="3">
        <v>572.0</v>
      </c>
      <c r="F140" s="3">
        <v>410.0</v>
      </c>
      <c r="G140" s="3">
        <v>293.0</v>
      </c>
      <c r="H140" s="3">
        <v>177.0</v>
      </c>
      <c r="I140" s="3">
        <v>85.0</v>
      </c>
      <c r="J140" s="4">
        <f t="shared" si="1"/>
        <v>5</v>
      </c>
      <c r="K140" s="4" t="str">
        <f t="shared" si="2"/>
        <v>Medio</v>
      </c>
      <c r="L140" s="4">
        <f t="shared" si="3"/>
        <v>4.085</v>
      </c>
    </row>
    <row r="141">
      <c r="A141" s="1">
        <v>140.0</v>
      </c>
      <c r="B141" s="1" t="s">
        <v>151</v>
      </c>
      <c r="C141" s="3">
        <v>4015.0</v>
      </c>
      <c r="D141" s="3">
        <v>755.0</v>
      </c>
      <c r="E141" s="3">
        <v>765.0</v>
      </c>
      <c r="F141" s="3">
        <v>588.0</v>
      </c>
      <c r="G141" s="3">
        <v>498.0</v>
      </c>
      <c r="H141" s="3">
        <v>200.0</v>
      </c>
      <c r="I141" s="3">
        <v>85.0</v>
      </c>
      <c r="J141" s="4">
        <f t="shared" si="1"/>
        <v>7</v>
      </c>
      <c r="K141" s="4" t="str">
        <f t="shared" si="2"/>
        <v>Medio</v>
      </c>
      <c r="L141" s="4">
        <f t="shared" si="3"/>
        <v>4.015</v>
      </c>
    </row>
    <row r="142">
      <c r="A142" s="1">
        <v>141.0</v>
      </c>
      <c r="B142" s="1" t="s">
        <v>152</v>
      </c>
      <c r="C142" s="3">
        <v>3975.0</v>
      </c>
      <c r="D142" s="3">
        <v>73.0</v>
      </c>
      <c r="E142" s="3">
        <v>922.0</v>
      </c>
      <c r="F142" s="3">
        <v>443.0</v>
      </c>
      <c r="G142" s="3">
        <v>370.0</v>
      </c>
      <c r="H142" s="3">
        <v>233.0</v>
      </c>
      <c r="I142" s="3">
        <v>33.0</v>
      </c>
      <c r="J142" s="4">
        <f t="shared" si="1"/>
        <v>7</v>
      </c>
      <c r="K142" s="4" t="str">
        <f t="shared" si="2"/>
        <v>Bajo</v>
      </c>
      <c r="L142" s="4">
        <f t="shared" si="3"/>
        <v>3.975</v>
      </c>
    </row>
    <row r="143">
      <c r="A143" s="1">
        <v>142.0</v>
      </c>
      <c r="B143" s="1" t="s">
        <v>153</v>
      </c>
      <c r="C143" s="3">
        <v>3973.0</v>
      </c>
      <c r="D143" s="3">
        <v>274.0</v>
      </c>
      <c r="E143" s="3">
        <v>757.0</v>
      </c>
      <c r="F143" s="3">
        <v>505.0</v>
      </c>
      <c r="G143" s="3">
        <v>142.0</v>
      </c>
      <c r="H143" s="3">
        <v>275.0</v>
      </c>
      <c r="I143" s="3">
        <v>78.0</v>
      </c>
      <c r="J143" s="4">
        <f t="shared" si="1"/>
        <v>10</v>
      </c>
      <c r="K143" s="4" t="str">
        <f t="shared" si="2"/>
        <v>Bajo</v>
      </c>
      <c r="L143" s="4">
        <f t="shared" si="3"/>
        <v>3.973</v>
      </c>
    </row>
    <row r="144">
      <c r="A144" s="1">
        <v>143.0</v>
      </c>
      <c r="B144" s="1" t="s">
        <v>154</v>
      </c>
      <c r="C144" s="3">
        <v>3933.0</v>
      </c>
      <c r="D144" s="3">
        <v>274.0</v>
      </c>
      <c r="E144" s="3">
        <v>916.0</v>
      </c>
      <c r="F144" s="3">
        <v>555.0</v>
      </c>
      <c r="G144" s="3">
        <v>148.0</v>
      </c>
      <c r="H144" s="3">
        <v>169.0</v>
      </c>
      <c r="I144" s="3">
        <v>41.0</v>
      </c>
      <c r="J144" s="4">
        <f t="shared" si="1"/>
        <v>7</v>
      </c>
      <c r="K144" s="4" t="str">
        <f t="shared" si="2"/>
        <v>Bajo</v>
      </c>
      <c r="L144" s="4">
        <f t="shared" si="3"/>
        <v>3.933</v>
      </c>
    </row>
    <row r="145">
      <c r="A145" s="1">
        <v>144.0</v>
      </c>
      <c r="B145" s="1" t="s">
        <v>155</v>
      </c>
      <c r="C145" s="3">
        <v>3802.0</v>
      </c>
      <c r="D145" s="3">
        <v>489.0</v>
      </c>
      <c r="E145" s="3">
        <v>1169.0</v>
      </c>
      <c r="F145" s="3">
        <v>168.0</v>
      </c>
      <c r="G145" s="3">
        <v>359.0</v>
      </c>
      <c r="H145" s="3">
        <v>107.0</v>
      </c>
      <c r="I145" s="3">
        <v>93.0</v>
      </c>
      <c r="J145" s="4">
        <f t="shared" si="1"/>
        <v>7</v>
      </c>
      <c r="K145" s="4" t="str">
        <f t="shared" si="2"/>
        <v>Bajo</v>
      </c>
      <c r="L145" s="4">
        <f t="shared" si="3"/>
        <v>3.802</v>
      </c>
    </row>
    <row r="146">
      <c r="A146" s="1">
        <v>145.0</v>
      </c>
      <c r="B146" s="1" t="s">
        <v>156</v>
      </c>
      <c r="C146" s="3">
        <v>3775.0</v>
      </c>
      <c r="D146" s="3">
        <v>46.0</v>
      </c>
      <c r="E146" s="3">
        <v>447.0</v>
      </c>
      <c r="F146" s="3">
        <v>380.0</v>
      </c>
      <c r="G146" s="3">
        <v>220.0</v>
      </c>
      <c r="H146" s="3">
        <v>176.0</v>
      </c>
      <c r="I146" s="3">
        <v>180.0</v>
      </c>
      <c r="J146" s="4">
        <f t="shared" si="1"/>
        <v>8</v>
      </c>
      <c r="K146" s="4" t="str">
        <f t="shared" si="2"/>
        <v>Bajo</v>
      </c>
      <c r="L146" s="4">
        <f t="shared" si="3"/>
        <v>3.775</v>
      </c>
    </row>
    <row r="147">
      <c r="A147" s="1">
        <v>146.0</v>
      </c>
      <c r="B147" s="1" t="s">
        <v>157</v>
      </c>
      <c r="C147" s="3">
        <v>3663.0</v>
      </c>
      <c r="D147" s="3">
        <v>366.0</v>
      </c>
      <c r="E147" s="3">
        <v>1114.0</v>
      </c>
      <c r="F147" s="3">
        <v>433.0</v>
      </c>
      <c r="G147" s="3">
        <v>361.0</v>
      </c>
      <c r="H147" s="3">
        <v>151.0</v>
      </c>
      <c r="I147" s="3">
        <v>89.0</v>
      </c>
      <c r="J147" s="4">
        <f t="shared" si="1"/>
        <v>5</v>
      </c>
      <c r="K147" s="4" t="str">
        <f t="shared" si="2"/>
        <v>Bajo</v>
      </c>
      <c r="L147" s="4">
        <f t="shared" si="3"/>
        <v>3.663</v>
      </c>
    </row>
    <row r="148">
      <c r="A148" s="1">
        <v>147.0</v>
      </c>
      <c r="B148" s="1" t="s">
        <v>158</v>
      </c>
      <c r="C148" s="3">
        <v>3597.0</v>
      </c>
      <c r="D148" s="3">
        <v>323.0</v>
      </c>
      <c r="E148" s="3">
        <v>688.0</v>
      </c>
      <c r="F148" s="3">
        <v>449.0</v>
      </c>
      <c r="G148" s="3">
        <v>26.0</v>
      </c>
      <c r="H148" s="3">
        <v>419.0</v>
      </c>
      <c r="I148" s="3">
        <v>110.0</v>
      </c>
      <c r="J148" s="4">
        <f t="shared" si="1"/>
        <v>8</v>
      </c>
      <c r="K148" s="4" t="str">
        <f t="shared" si="2"/>
        <v>Bajo</v>
      </c>
      <c r="L148" s="4">
        <f t="shared" si="3"/>
        <v>3.597</v>
      </c>
    </row>
    <row r="149">
      <c r="A149" s="1">
        <v>148.0</v>
      </c>
      <c r="B149" s="1" t="s">
        <v>159</v>
      </c>
      <c r="C149" s="3">
        <v>3488.0</v>
      </c>
      <c r="D149" s="3">
        <v>1041.0</v>
      </c>
      <c r="E149" s="3">
        <v>1145.0</v>
      </c>
      <c r="F149" s="3">
        <v>538.0</v>
      </c>
      <c r="G149" s="3">
        <v>455.0</v>
      </c>
      <c r="H149" s="3">
        <v>25.0</v>
      </c>
      <c r="I149" s="3">
        <v>100.0</v>
      </c>
      <c r="J149" s="4">
        <f t="shared" si="1"/>
        <v>5</v>
      </c>
      <c r="K149" s="4" t="str">
        <f t="shared" si="2"/>
        <v>Bajo</v>
      </c>
      <c r="L149" s="4">
        <f t="shared" si="3"/>
        <v>3.488</v>
      </c>
    </row>
    <row r="150">
      <c r="A150" s="1">
        <v>149.0</v>
      </c>
      <c r="B150" s="1" t="s">
        <v>160</v>
      </c>
      <c r="C150" s="3">
        <v>3462.0</v>
      </c>
      <c r="D150" s="3">
        <v>619.0</v>
      </c>
      <c r="E150" s="3">
        <v>378.0</v>
      </c>
      <c r="F150" s="3">
        <v>440.0</v>
      </c>
      <c r="G150" s="3">
        <v>13.0</v>
      </c>
      <c r="H150" s="3">
        <v>331.0</v>
      </c>
      <c r="I150" s="3">
        <v>141.0</v>
      </c>
      <c r="J150" s="4">
        <f t="shared" si="1"/>
        <v>6</v>
      </c>
      <c r="K150" s="4" t="str">
        <f t="shared" si="2"/>
        <v>Bajo</v>
      </c>
      <c r="L150" s="4">
        <f t="shared" si="3"/>
        <v>3.462</v>
      </c>
    </row>
    <row r="151">
      <c r="A151" s="1">
        <v>150.0</v>
      </c>
      <c r="B151" s="1" t="s">
        <v>161</v>
      </c>
      <c r="C151" s="3">
        <v>3410.0</v>
      </c>
      <c r="D151" s="3">
        <v>191.0</v>
      </c>
      <c r="E151" s="3">
        <v>560.0</v>
      </c>
      <c r="F151" s="3">
        <v>495.0</v>
      </c>
      <c r="G151" s="3">
        <v>443.0</v>
      </c>
      <c r="H151" s="3">
        <v>218.0</v>
      </c>
      <c r="I151" s="3">
        <v>89.0</v>
      </c>
      <c r="J151" s="4">
        <f t="shared" si="1"/>
        <v>5</v>
      </c>
      <c r="K151" s="4" t="str">
        <f t="shared" si="2"/>
        <v>Bajo</v>
      </c>
      <c r="L151" s="4">
        <f t="shared" si="3"/>
        <v>3.41</v>
      </c>
    </row>
    <row r="152">
      <c r="A152" s="1">
        <v>151.0</v>
      </c>
      <c r="B152" s="1" t="s">
        <v>162</v>
      </c>
      <c r="C152" s="3">
        <v>3380.0</v>
      </c>
      <c r="D152" s="3">
        <v>287.0</v>
      </c>
      <c r="E152" s="3">
        <v>1163.0</v>
      </c>
      <c r="F152" s="3">
        <v>463.0</v>
      </c>
      <c r="G152" s="3">
        <v>143.0</v>
      </c>
      <c r="H152" s="3">
        <v>108.0</v>
      </c>
      <c r="I152" s="3">
        <v>77.0</v>
      </c>
      <c r="J152" s="4">
        <f t="shared" si="1"/>
        <v>6</v>
      </c>
      <c r="K152" s="4" t="str">
        <f t="shared" si="2"/>
        <v>Bajo</v>
      </c>
      <c r="L152" s="4">
        <f t="shared" si="3"/>
        <v>3.38</v>
      </c>
    </row>
    <row r="153">
      <c r="A153" s="1">
        <v>152.0</v>
      </c>
      <c r="B153" s="1" t="s">
        <v>163</v>
      </c>
      <c r="C153" s="3">
        <v>3334.0</v>
      </c>
      <c r="D153" s="3">
        <v>359.0</v>
      </c>
      <c r="E153" s="3">
        <v>711.0</v>
      </c>
      <c r="F153" s="3">
        <v>614.0</v>
      </c>
      <c r="G153" s="3">
        <v>555.0</v>
      </c>
      <c r="H153" s="3">
        <v>217.0</v>
      </c>
      <c r="I153" s="3">
        <v>411.0</v>
      </c>
      <c r="J153" s="4">
        <f t="shared" si="1"/>
        <v>8</v>
      </c>
      <c r="K153" s="4" t="str">
        <f t="shared" si="2"/>
        <v>Bajo</v>
      </c>
      <c r="L153" s="4">
        <f t="shared" si="3"/>
        <v>3.334</v>
      </c>
    </row>
    <row r="154">
      <c r="A154" s="1">
        <v>153.0</v>
      </c>
      <c r="B154" s="1" t="s">
        <v>164</v>
      </c>
      <c r="C154" s="3">
        <v>3231.0</v>
      </c>
      <c r="D154" s="3">
        <v>476.0</v>
      </c>
      <c r="E154" s="3">
        <v>885.0</v>
      </c>
      <c r="F154" s="3">
        <v>499.0</v>
      </c>
      <c r="G154" s="3">
        <v>417.0</v>
      </c>
      <c r="H154" s="3">
        <v>276.0</v>
      </c>
      <c r="I154" s="3">
        <v>147.0</v>
      </c>
      <c r="J154" s="4">
        <f t="shared" si="1"/>
        <v>11</v>
      </c>
      <c r="K154" s="4" t="str">
        <f t="shared" si="2"/>
        <v>Bajo</v>
      </c>
      <c r="L154" s="4">
        <f t="shared" si="3"/>
        <v>3.231</v>
      </c>
    </row>
    <row r="155">
      <c r="A155" s="1">
        <v>154.0</v>
      </c>
      <c r="B155" s="1" t="s">
        <v>165</v>
      </c>
      <c r="C155" s="3">
        <v>3203.0</v>
      </c>
      <c r="D155" s="3">
        <v>350.0</v>
      </c>
      <c r="E155" s="3">
        <v>517.0</v>
      </c>
      <c r="F155" s="3">
        <v>361.0</v>
      </c>
      <c r="G155" s="3">
        <v>0.0</v>
      </c>
      <c r="H155" s="3">
        <v>158.0</v>
      </c>
      <c r="I155" s="3">
        <v>25.0</v>
      </c>
      <c r="J155" s="4">
        <f t="shared" si="1"/>
        <v>24</v>
      </c>
      <c r="K155" s="4" t="str">
        <f t="shared" si="2"/>
        <v>Bajo</v>
      </c>
      <c r="L155" s="4">
        <f t="shared" si="3"/>
        <v>3.203</v>
      </c>
    </row>
    <row r="156">
      <c r="A156" s="1">
        <v>155.0</v>
      </c>
      <c r="B156" s="1" t="s">
        <v>166</v>
      </c>
      <c r="C156" s="3">
        <v>3083.0</v>
      </c>
      <c r="D156" s="3">
        <v>26.0</v>
      </c>
      <c r="E156" s="3">
        <v>0.0</v>
      </c>
      <c r="F156" s="3">
        <v>105.0</v>
      </c>
      <c r="G156" s="3">
        <v>225.0</v>
      </c>
      <c r="H156" s="3">
        <v>235.0</v>
      </c>
      <c r="I156" s="3">
        <v>35.0</v>
      </c>
      <c r="J156" s="4">
        <f t="shared" si="1"/>
        <v>11</v>
      </c>
      <c r="K156" s="4" t="str">
        <f t="shared" si="2"/>
        <v>Bajo</v>
      </c>
      <c r="L156" s="4">
        <f t="shared" si="3"/>
        <v>3.083</v>
      </c>
    </row>
    <row r="157">
      <c r="A157" s="1">
        <v>156.0</v>
      </c>
      <c r="B157" s="1" t="s">
        <v>167</v>
      </c>
      <c r="C157" s="3">
        <v>2853.0</v>
      </c>
      <c r="D157" s="3">
        <v>306.0</v>
      </c>
      <c r="E157" s="3">
        <v>575.0</v>
      </c>
      <c r="F157" s="3">
        <v>295.0</v>
      </c>
      <c r="G157" s="3">
        <v>10.0</v>
      </c>
      <c r="H157" s="3">
        <v>202.0</v>
      </c>
      <c r="I157" s="3">
        <v>91.0</v>
      </c>
      <c r="J157" s="4">
        <f t="shared" si="1"/>
        <v>0</v>
      </c>
      <c r="K157" s="4" t="str">
        <f t="shared" si="2"/>
        <v>Bajo</v>
      </c>
      <c r="L157" s="4">
        <f t="shared" si="3"/>
        <v>2.853</v>
      </c>
    </row>
    <row r="159">
      <c r="A159" s="1" t="s">
        <v>168</v>
      </c>
      <c r="B159" s="1" t="s">
        <v>169</v>
      </c>
      <c r="C159" s="1" t="s">
        <v>168</v>
      </c>
      <c r="D159" s="1" t="s">
        <v>168</v>
      </c>
      <c r="E159" s="1" t="s">
        <v>168</v>
      </c>
      <c r="F159" s="1" t="s">
        <v>168</v>
      </c>
      <c r="G159" s="1" t="s">
        <v>168</v>
      </c>
      <c r="H159" s="1" t="s">
        <v>168</v>
      </c>
      <c r="I159" s="1" t="s">
        <v>168</v>
      </c>
      <c r="K159" s="4">
        <f>COUNTIF(K2:K157,"Alto")
</f>
        <v>52</v>
      </c>
    </row>
    <row r="160">
      <c r="C160" s="5">
        <f>AVERAGE(C2:C157)</f>
        <v>5407.096154</v>
      </c>
      <c r="K160" s="4">
        <f>COUNTIF(K2:K157,"Medio")</f>
        <v>88</v>
      </c>
    </row>
    <row r="161">
      <c r="C161" s="5">
        <f>MEDIAN(C3,C157)</f>
        <v>5226.5</v>
      </c>
      <c r="K161" s="4">
        <f>COUNTIF(K2:K157,"Bajo")</f>
        <v>16</v>
      </c>
    </row>
    <row r="162">
      <c r="C162" s="4">
        <f>STDEV(C2:C157)</f>
        <v>1113.119869</v>
      </c>
    </row>
    <row r="165">
      <c r="K165" s="4">
        <f>SUMIF(K2:K157,"Alto",C2:C157)</f>
        <v>345530</v>
      </c>
    </row>
    <row r="166">
      <c r="K166" s="4">
        <f>SUMIF(K2:K157,"Medio",C2:C157)</f>
        <v>441815</v>
      </c>
    </row>
    <row r="167">
      <c r="K167" s="4">
        <f>SUMIF(K2:K157,"Bajo",C2:C157)</f>
        <v>56162</v>
      </c>
    </row>
    <row r="170">
      <c r="K170" s="4">
        <f>SUMIF(K2:K157,"Alto",C2:C157)</f>
        <v>345530</v>
      </c>
    </row>
    <row r="171">
      <c r="K171" s="4">
        <f>SUMIF(K2:K157,"Medio",C2:C157)</f>
        <v>441815</v>
      </c>
    </row>
    <row r="172">
      <c r="K172" s="4">
        <f>SUMIF(K2:K157,"Bajo",C2:C157)</f>
        <v>56162</v>
      </c>
    </row>
    <row r="217">
      <c r="C217" s="4" t="b">
        <f>C151&gt;=6
</f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